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Segments" sheetId="3" state="visible" r:id="rId3"/>
    <sheet name="IS" sheetId="4" state="visible" r:id="rId4"/>
    <sheet name="BS" sheetId="5" state="visible" r:id="rId5"/>
    <sheet name="CF" sheetId="6" state="visible" r:id="rId6"/>
    <sheet name="Sched" sheetId="7" state="visible" r:id="rId7"/>
    <sheet name="WACC" sheetId="8" state="visible" r:id="rId8"/>
    <sheet name="DCF" sheetId="9" state="visible" r:id="rId9"/>
    <sheet name="Sens" sheetId="10" state="visible" r:id="rId10"/>
    <sheet name="Scenarios" sheetId="11" state="visible" r:id="rId11"/>
    <sheet name="Checks" sheetId="12" state="visible" r:id="rId12"/>
    <sheet name="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&quot;-&quot;"/>
    <numFmt numFmtId="165" formatCode="#,##0.00;(#,##0.00);&quot;-&quot;"/>
    <numFmt numFmtId="166" formatCode="#,##0.0;(#,##0.0);&quot;-&quot;"/>
    <numFmt numFmtId="167" formatCode="0.0&quot;x&quot;"/>
    <numFmt numFmtId="168" formatCode="#,##0;(#,##0);&quot;-&quot;"/>
    <numFmt numFmtId="169" formatCode="0.000"/>
    <numFmt numFmtId="170" formatCode="0.0"/>
  </numFmts>
  <fonts count="2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666666"/>
      <sz val="9"/>
    </font>
    <font>
      <name val="Calibri"/>
      <i val="1"/>
      <color rgb="00555555"/>
      <sz val="9"/>
    </font>
    <font>
      <name val="Calibri"/>
      <b val="1"/>
      <color rgb="000000FF"/>
      <sz val="10"/>
    </font>
    <font>
      <name val="Calibri"/>
      <b val="1"/>
      <color rgb="000000FF"/>
      <sz val="11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sz val="10"/>
    </font>
    <font>
      <name val="Calibri"/>
      <color rgb="000000FF"/>
      <sz val="10"/>
    </font>
    <font>
      <name val="Calibri"/>
      <color rgb="00006100"/>
      <sz val="10"/>
    </font>
    <font>
      <name val="Calibri"/>
      <color rgb="00000000"/>
      <sz val="10"/>
    </font>
    <font>
      <name val="Calibri"/>
      <b val="1"/>
      <i val="1"/>
      <color rgb="001F3864"/>
      <sz val="10"/>
    </font>
    <font>
      <name val="Calibri"/>
      <i val="1"/>
      <color rgb="007F6000"/>
      <sz val="9"/>
    </font>
    <font>
      <name val="Calibri"/>
      <b val="1"/>
      <color rgb="00006100"/>
      <sz val="10"/>
    </font>
    <font>
      <name val="Calibri"/>
      <i val="1"/>
      <sz val="10"/>
    </font>
    <font>
      <name val="Calibri"/>
      <i val="1"/>
      <color rgb="00000000"/>
      <sz val="10"/>
    </font>
    <font>
      <name val="Calibri"/>
      <i val="1"/>
      <color rgb="00006100"/>
      <sz val="10"/>
    </font>
    <font>
      <name val="Calibri"/>
      <b val="1"/>
      <color rgb="001F3864"/>
      <sz val="11"/>
    </font>
    <font>
      <name val="Calibri"/>
      <i val="1"/>
      <color rgb="00C00000"/>
      <sz val="9"/>
    </font>
    <font>
      <name val="Calibri"/>
      <sz val="9"/>
    </font>
    <font>
      <name val="Calibri"/>
      <b val="1"/>
      <color rgb="001F3864"/>
      <sz val="18"/>
    </font>
    <font>
      <name val="Calibri"/>
      <i val="1"/>
      <color rgb="00666666"/>
      <sz val="10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top style="thin">
        <color rgb="00999999"/>
      </top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5" fontId="17" fillId="0" borderId="0" applyAlignment="1" pivotButton="0" quotePrefix="0" xfId="0">
      <alignment horizontal="right"/>
    </xf>
    <xf numFmtId="0" fontId="11" fillId="0" borderId="0" pivotButton="0" quotePrefix="0" xfId="0"/>
    <xf numFmtId="165" fontId="13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10" fontId="13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0" fontId="27" fillId="2" borderId="0" applyAlignment="1" pivotButton="0" quotePrefix="0" xfId="0">
      <alignment horizontal="center"/>
    </xf>
    <xf numFmtId="168" fontId="17" fillId="0" borderId="0" pivotButton="0" quotePrefix="0" xfId="0"/>
    <xf numFmtId="164" fontId="13" fillId="0" borderId="0" pivotButton="0" quotePrefix="0" xfId="0"/>
    <xf numFmtId="168" fontId="13" fillId="0" borderId="0" pivotButton="0" quotePrefix="0" xfId="0"/>
    <xf numFmtId="165" fontId="13" fillId="0" borderId="0" pivotButton="0" quotePrefix="0" xfId="0"/>
    <xf numFmtId="0" fontId="2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" fontId="8" fillId="3" borderId="0" applyAlignment="1" pivotButton="0" quotePrefix="0" xfId="0">
      <alignment horizontal="right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4" borderId="0" pivotButton="0" quotePrefix="0" xfId="0"/>
    <xf numFmtId="0" fontId="0" fillId="4" borderId="0" pivotButton="0" quotePrefix="0" xfId="0"/>
    <xf numFmtId="164" fontId="12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2" fontId="12" fillId="0" borderId="0" applyAlignment="1" pivotButton="0" quotePrefix="0" xfId="0">
      <alignment horizontal="right"/>
    </xf>
    <xf numFmtId="10" fontId="12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166" fontId="12" fillId="0" borderId="0" applyAlignment="1" pivotButton="0" quotePrefix="0" xfId="0">
      <alignment horizontal="right"/>
    </xf>
    <xf numFmtId="167" fontId="12" fillId="0" borderId="0" applyAlignment="1" pivotButton="0" quotePrefix="0" xfId="0">
      <alignment horizontal="right"/>
    </xf>
    <xf numFmtId="1" fontId="12" fillId="0" borderId="0" applyAlignment="1" pivotButton="0" quotePrefix="0" xfId="0">
      <alignment horizontal="right"/>
    </xf>
    <xf numFmtId="168" fontId="12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15" fillId="0" borderId="0" pivotButton="0" quotePrefix="0" xfId="0"/>
    <xf numFmtId="168" fontId="9" fillId="0" borderId="1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168" fontId="14" fillId="0" borderId="0" applyAlignment="1" pivotButton="0" quotePrefix="0" xfId="0">
      <alignment horizontal="right"/>
    </xf>
    <xf numFmtId="0" fontId="16" fillId="0" borderId="0" pivotButton="0" quotePrefix="0" xfId="0"/>
    <xf numFmtId="165" fontId="9" fillId="0" borderId="0" applyAlignment="1" pivotButton="0" quotePrefix="0" xfId="0">
      <alignment horizontal="right"/>
    </xf>
    <xf numFmtId="0" fontId="18" fillId="0" borderId="0" pivotButton="0" quotePrefix="0" xfId="0"/>
    <xf numFmtId="164" fontId="19" fillId="0" borderId="0" applyAlignment="1" pivotButton="0" quotePrefix="0" xfId="0">
      <alignment horizontal="right"/>
    </xf>
    <xf numFmtId="168" fontId="17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168" fontId="7" fillId="0" borderId="0" applyAlignment="1" pivotButton="0" quotePrefix="0" xfId="0">
      <alignment horizontal="right"/>
    </xf>
    <xf numFmtId="168" fontId="14" fillId="0" borderId="1" applyAlignment="1" pivotButton="0" quotePrefix="0" xfId="0">
      <alignment horizontal="right"/>
    </xf>
    <xf numFmtId="168" fontId="19" fillId="0" borderId="0" applyAlignment="1" pivotButton="0" quotePrefix="0" xfId="0">
      <alignment horizontal="right"/>
    </xf>
    <xf numFmtId="1" fontId="13" fillId="0" borderId="0" applyAlignment="1" pivotButton="0" quotePrefix="0" xfId="0">
      <alignment horizontal="right"/>
    </xf>
    <xf numFmtId="168" fontId="19" fillId="0" borderId="1" applyAlignment="1" pivotButton="0" quotePrefix="0" xfId="0">
      <alignment horizontal="right"/>
    </xf>
    <xf numFmtId="168" fontId="20" fillId="0" borderId="0" applyAlignment="1" pivotButton="0" quotePrefix="0" xfId="0">
      <alignment horizontal="right"/>
    </xf>
    <xf numFmtId="10" fontId="20" fillId="0" borderId="0" applyAlignment="1" pivotButton="0" quotePrefix="0" xfId="0">
      <alignment horizontal="right"/>
    </xf>
    <xf numFmtId="168" fontId="17" fillId="0" borderId="1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14" fillId="0" borderId="0" applyAlignment="1" pivotButton="0" quotePrefix="0" xfId="0">
      <alignment horizontal="right"/>
    </xf>
    <xf numFmtId="2" fontId="14" fillId="0" borderId="0" applyAlignment="1" pivotButton="0" quotePrefix="0" xfId="0">
      <alignment horizontal="right"/>
    </xf>
    <xf numFmtId="1" fontId="14" fillId="0" borderId="0" applyAlignment="1" pivotButton="0" quotePrefix="0" xfId="0">
      <alignment horizontal="right"/>
    </xf>
    <xf numFmtId="2" fontId="13" fillId="0" borderId="0" applyAlignment="1" pivotButton="0" quotePrefix="0" xfId="0">
      <alignment horizontal="right"/>
    </xf>
    <xf numFmtId="169" fontId="1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170" fontId="14" fillId="0" borderId="0" applyAlignment="1" pivotButton="0" quotePrefix="0" xfId="0">
      <alignment horizontal="right"/>
    </xf>
    <xf numFmtId="167" fontId="14" fillId="0" borderId="0" applyAlignment="1" pivotButton="0" quotePrefix="0" xfId="0">
      <alignment horizontal="right"/>
    </xf>
    <xf numFmtId="0" fontId="21" fillId="0" borderId="0" pivotButton="0" quotePrefix="0" xfId="0"/>
    <xf numFmtId="10" fontId="3" fillId="2" borderId="0" applyAlignment="1" pivotButton="0" quotePrefix="0" xfId="0">
      <alignment horizontal="center"/>
    </xf>
    <xf numFmtId="165" fontId="14" fillId="0" borderId="2" applyAlignment="1" pivotButton="0" quotePrefix="0" xfId="0">
      <alignment horizontal="right"/>
    </xf>
    <xf numFmtId="165" fontId="4" fillId="3" borderId="2" applyAlignment="1" pivotButton="0" quotePrefix="0" xfId="0">
      <alignment horizontal="right"/>
    </xf>
    <xf numFmtId="167" fontId="3" fillId="2" borderId="0" applyAlignment="1" pivotButton="0" quotePrefix="0" xfId="0">
      <alignment horizontal="center"/>
    </xf>
    <xf numFmtId="164" fontId="14" fillId="0" borderId="2" applyAlignment="1" pivotButton="0" quotePrefix="0" xfId="0">
      <alignment horizontal="right"/>
    </xf>
    <xf numFmtId="164" fontId="4" fillId="3" borderId="2" applyAlignment="1" pivotButton="0" quotePrefix="0" xfId="0">
      <alignment horizontal="right"/>
    </xf>
    <xf numFmtId="164" fontId="3" fillId="2" borderId="0" applyAlignment="1" pivotButton="0" quotePrefix="0" xfId="0">
      <alignment horizontal="center"/>
    </xf>
    <xf numFmtId="2" fontId="3" fillId="2" borderId="0" applyAlignment="1" pivotButton="0" quotePrefix="0" xfId="0">
      <alignment horizontal="center"/>
    </xf>
    <xf numFmtId="165" fontId="14" fillId="0" borderId="2" pivotButton="0" quotePrefix="0" xfId="0"/>
    <xf numFmtId="165" fontId="4" fillId="3" borderId="2" pivotButton="0" quotePrefix="0" xfId="0"/>
    <xf numFmtId="164" fontId="14" fillId="0" borderId="2" pivotButton="0" quotePrefix="0" xfId="0"/>
    <xf numFmtId="164" fontId="4" fillId="3" borderId="2" pivotButton="0" quotePrefix="0" xfId="0"/>
    <xf numFmtId="0" fontId="22" fillId="0" borderId="0" pivotButton="0" quotePrefix="0" xfId="0"/>
    <xf numFmtId="165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23" fillId="0" borderId="0" pivotButton="0" quotePrefix="0" xfId="0"/>
    <xf numFmtId="0" fontId="13" fillId="0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EBITDA (Rs crore)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'Summary'!A20</f>
            </strRef>
          </tx>
          <spPr>
            <a:ln>
              <a:prstDash val="solid"/>
            </a:ln>
          </spPr>
          <cat>
            <numRef>
              <f>'Summary'!$B$19:$I$19</f>
            </numRef>
          </cat>
          <val>
            <numRef>
              <f>'Summary'!$B$20:$I$20</f>
            </numRef>
          </val>
        </ser>
        <ser>
          <idx val="1"/>
          <order val="1"/>
          <tx>
            <strRef>
              <f>'Summary'!A22</f>
            </strRef>
          </tx>
          <spPr>
            <a:ln>
              <a:prstDash val="solid"/>
            </a:ln>
          </spPr>
          <cat>
            <numRef>
              <f>'Summary'!$B$19:$I$19</f>
            </numRef>
          </cat>
          <val>
            <numRef>
              <f>'Summary'!$B$22:$I$22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Free cash flow to firm (Rs crore)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'Summary'!$E$19:$I$19</f>
            </numRef>
          </cat>
          <val>
            <numRef>
              <f>'Summary'!$E$33:$I$33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INFOSYS LIMITED - DCF VALUATION MODEL</t>
        </is>
      </c>
    </row>
    <row r="2">
      <c r="A2" s="2" t="inlineStr">
        <is>
          <t>Integrated consolidated 3-statement forecast FY26E-FY30E | Valuation date 31-Mar-2025 | Rs crore unless stated</t>
        </is>
      </c>
    </row>
    <row r="3">
      <c r="A3" s="3">
        <f>"Active scenario: "&amp;Inputs!C7&amp;"   |   Model status: "&amp;Checks!C19</f>
        <v/>
      </c>
    </row>
    <row r="5">
      <c r="A5" s="4" t="inlineStr">
        <is>
          <t>VALUATION OUTPUT</t>
        </is>
      </c>
      <c r="B5" s="5" t="n"/>
    </row>
    <row r="6">
      <c r="A6" s="6" t="inlineStr">
        <is>
          <t>Blended intrinsic value per share (Rs)</t>
        </is>
      </c>
      <c r="B6" s="7">
        <f>DCF!C55</f>
        <v/>
      </c>
    </row>
    <row r="7">
      <c r="A7" s="8" t="inlineStr">
        <is>
          <t>Market price at 31-Mar-2025 (Rs)</t>
        </is>
      </c>
      <c r="B7" s="9">
        <f>DCF!C56</f>
        <v/>
      </c>
    </row>
    <row r="8">
      <c r="A8" s="6" t="inlineStr">
        <is>
          <t>Upside / (downside)</t>
        </is>
      </c>
      <c r="B8" s="10">
        <f>DCF!C57</f>
        <v/>
      </c>
    </row>
    <row r="9">
      <c r="A9" s="8" t="inlineStr">
        <is>
          <t>Value per share - Gordon growth (Rs)</t>
        </is>
      </c>
      <c r="B9" s="9">
        <f>DCF!C53</f>
        <v/>
      </c>
    </row>
    <row r="10">
      <c r="A10" s="8" t="inlineStr">
        <is>
          <t>Value per share - exit multiple (Rs)</t>
        </is>
      </c>
      <c r="B10" s="9">
        <f>DCF!D53</f>
        <v/>
      </c>
    </row>
    <row r="11">
      <c r="A11" s="8" t="inlineStr">
        <is>
          <t>Enterprise value - Gordon growth (Rs crore)</t>
        </is>
      </c>
      <c r="B11" s="11">
        <f>DCF!C40</f>
        <v/>
      </c>
    </row>
    <row r="12">
      <c r="A12" s="8" t="inlineStr">
        <is>
          <t>Equity value - Gordon growth (Rs crore)</t>
        </is>
      </c>
      <c r="B12" s="11">
        <f>DCF!C51</f>
        <v/>
      </c>
    </row>
    <row r="13">
      <c r="A13" s="8" t="inlineStr">
        <is>
          <t>WACC</t>
        </is>
      </c>
      <c r="B13" s="12">
        <f>WACC!C19</f>
        <v/>
      </c>
    </row>
    <row r="14">
      <c r="A14" s="8" t="inlineStr">
        <is>
          <t>Terminal growth</t>
        </is>
      </c>
      <c r="B14" s="12">
        <f>Inputs!C67</f>
        <v/>
      </c>
    </row>
    <row r="15">
      <c r="A15" s="8" t="inlineStr">
        <is>
          <t>PV of terminal value as % of EV (Gordon)</t>
        </is>
      </c>
      <c r="B15" s="13">
        <f>DCF!C41</f>
        <v/>
      </c>
    </row>
    <row r="16">
      <c r="A16" s="8" t="inlineStr">
        <is>
          <t>Implied EV / FY25 EBITDA (Gordon)</t>
        </is>
      </c>
      <c r="B16" s="14">
        <f>DCF!C61</f>
        <v/>
      </c>
    </row>
    <row r="17">
      <c r="A17" s="8" t="inlineStr">
        <is>
          <t>Market EV / FY25 EBITDA at market price</t>
        </is>
      </c>
      <c r="B17" s="14">
        <f>DCF!C66</f>
        <v/>
      </c>
    </row>
    <row r="19">
      <c r="A19" s="4" t="inlineStr">
        <is>
          <t>FINANCIAL SUMMARY</t>
        </is>
      </c>
      <c r="B19" s="15" t="inlineStr">
        <is>
          <t>FY23A</t>
        </is>
      </c>
      <c r="C19" s="15" t="inlineStr">
        <is>
          <t>FY24A</t>
        </is>
      </c>
      <c r="D19" s="15" t="inlineStr">
        <is>
          <t>FY25A</t>
        </is>
      </c>
      <c r="E19" s="15" t="inlineStr">
        <is>
          <t>FY26E</t>
        </is>
      </c>
      <c r="F19" s="15" t="inlineStr">
        <is>
          <t>FY27E</t>
        </is>
      </c>
      <c r="G19" s="15" t="inlineStr">
        <is>
          <t>FY28E</t>
        </is>
      </c>
      <c r="H19" s="15" t="inlineStr">
        <is>
          <t>FY29E</t>
        </is>
      </c>
      <c r="I19" s="15" t="inlineStr">
        <is>
          <t>FY30E</t>
        </is>
      </c>
    </row>
    <row r="20">
      <c r="A20" s="6" t="inlineStr">
        <is>
          <t>Revenue</t>
        </is>
      </c>
      <c r="B20" s="16">
        <f>IS!C7</f>
        <v/>
      </c>
      <c r="C20" s="16">
        <f>IS!D7</f>
        <v/>
      </c>
      <c r="D20" s="16">
        <f>IS!E7</f>
        <v/>
      </c>
      <c r="E20" s="16">
        <f>IS!F7</f>
        <v/>
      </c>
      <c r="F20" s="16">
        <f>IS!G7</f>
        <v/>
      </c>
      <c r="G20" s="16">
        <f>IS!H7</f>
        <v/>
      </c>
      <c r="H20" s="16">
        <f>IS!I7</f>
        <v/>
      </c>
      <c r="I20" s="16">
        <f>IS!J7</f>
        <v/>
      </c>
    </row>
    <row r="21">
      <c r="A21" s="8" t="inlineStr">
        <is>
          <t xml:space="preserve">  growth (INR)</t>
        </is>
      </c>
      <c r="B21" s="17">
        <f>IS!C40</f>
        <v/>
      </c>
      <c r="C21" s="17">
        <f>IS!D40</f>
        <v/>
      </c>
      <c r="D21" s="17">
        <f>IS!E40</f>
        <v/>
      </c>
      <c r="E21" s="17">
        <f>IS!F40</f>
        <v/>
      </c>
      <c r="F21" s="17">
        <f>IS!G40</f>
        <v/>
      </c>
      <c r="G21" s="17">
        <f>IS!H40</f>
        <v/>
      </c>
      <c r="H21" s="17">
        <f>IS!I40</f>
        <v/>
      </c>
      <c r="I21" s="17">
        <f>IS!J40</f>
        <v/>
      </c>
    </row>
    <row r="22">
      <c r="A22" s="6" t="inlineStr">
        <is>
          <t>EBITDA (excl. other income)</t>
        </is>
      </c>
      <c r="B22" s="16">
        <f>IS!C38</f>
        <v/>
      </c>
      <c r="C22" s="16">
        <f>IS!D38</f>
        <v/>
      </c>
      <c r="D22" s="16">
        <f>IS!E38</f>
        <v/>
      </c>
      <c r="E22" s="16">
        <f>IS!F38</f>
        <v/>
      </c>
      <c r="F22" s="16">
        <f>IS!G38</f>
        <v/>
      </c>
      <c r="G22" s="16">
        <f>IS!H38</f>
        <v/>
      </c>
      <c r="H22" s="16">
        <f>IS!I38</f>
        <v/>
      </c>
      <c r="I22" s="16">
        <f>IS!J38</f>
        <v/>
      </c>
    </row>
    <row r="23">
      <c r="A23" s="8" t="inlineStr">
        <is>
          <t xml:space="preserve">  EBITDA margin</t>
        </is>
      </c>
      <c r="B23" s="17">
        <f>IS!C39</f>
        <v/>
      </c>
      <c r="C23" s="17">
        <f>IS!D39</f>
        <v/>
      </c>
      <c r="D23" s="17">
        <f>IS!E39</f>
        <v/>
      </c>
      <c r="E23" s="17">
        <f>IS!F39</f>
        <v/>
      </c>
      <c r="F23" s="17">
        <f>IS!G39</f>
        <v/>
      </c>
      <c r="G23" s="17">
        <f>IS!H39</f>
        <v/>
      </c>
      <c r="H23" s="17">
        <f>IS!I39</f>
        <v/>
      </c>
      <c r="I23" s="17">
        <f>IS!J39</f>
        <v/>
      </c>
    </row>
    <row r="24">
      <c r="A24" s="8" t="inlineStr">
        <is>
          <t>Operating profit</t>
        </is>
      </c>
      <c r="B24" s="18">
        <f>IS!C36</f>
        <v/>
      </c>
      <c r="C24" s="18">
        <f>IS!D36</f>
        <v/>
      </c>
      <c r="D24" s="18">
        <f>IS!E36</f>
        <v/>
      </c>
      <c r="E24" s="18">
        <f>IS!F36</f>
        <v/>
      </c>
      <c r="F24" s="18">
        <f>IS!G36</f>
        <v/>
      </c>
      <c r="G24" s="18">
        <f>IS!H36</f>
        <v/>
      </c>
      <c r="H24" s="18">
        <f>IS!I36</f>
        <v/>
      </c>
      <c r="I24" s="18">
        <f>IS!J36</f>
        <v/>
      </c>
    </row>
    <row r="25">
      <c r="A25" s="8" t="inlineStr">
        <is>
          <t xml:space="preserve">  operating margin</t>
        </is>
      </c>
      <c r="B25" s="17">
        <f>IS!C37</f>
        <v/>
      </c>
      <c r="C25" s="17">
        <f>IS!D37</f>
        <v/>
      </c>
      <c r="D25" s="17">
        <f>IS!E37</f>
        <v/>
      </c>
      <c r="E25" s="17">
        <f>IS!F37</f>
        <v/>
      </c>
      <c r="F25" s="17">
        <f>IS!G37</f>
        <v/>
      </c>
      <c r="G25" s="17">
        <f>IS!H37</f>
        <v/>
      </c>
      <c r="H25" s="17">
        <f>IS!I37</f>
        <v/>
      </c>
      <c r="I25" s="17">
        <f>IS!J37</f>
        <v/>
      </c>
    </row>
    <row r="26">
      <c r="A26" s="8" t="inlineStr">
        <is>
          <t>Profit for the year</t>
        </is>
      </c>
      <c r="B26" s="18">
        <f>IS!C24</f>
        <v/>
      </c>
      <c r="C26" s="18">
        <f>IS!D24</f>
        <v/>
      </c>
      <c r="D26" s="18">
        <f>IS!E24</f>
        <v/>
      </c>
      <c r="E26" s="18">
        <f>IS!F24</f>
        <v/>
      </c>
      <c r="F26" s="18">
        <f>IS!G24</f>
        <v/>
      </c>
      <c r="G26" s="18">
        <f>IS!H24</f>
        <v/>
      </c>
      <c r="H26" s="18">
        <f>IS!I24</f>
        <v/>
      </c>
      <c r="I26" s="18">
        <f>IS!J24</f>
        <v/>
      </c>
    </row>
    <row r="27">
      <c r="A27" s="8" t="inlineStr">
        <is>
          <t>EPS (Rs)</t>
        </is>
      </c>
      <c r="B27" s="19">
        <f>IS!C32</f>
        <v/>
      </c>
      <c r="C27" s="19">
        <f>IS!D32</f>
        <v/>
      </c>
      <c r="D27" s="19">
        <f>IS!E32</f>
        <v/>
      </c>
      <c r="E27" s="19">
        <f>IS!F32</f>
        <v/>
      </c>
      <c r="F27" s="19">
        <f>IS!G32</f>
        <v/>
      </c>
      <c r="G27" s="19">
        <f>IS!H32</f>
        <v/>
      </c>
      <c r="H27" s="19">
        <f>IS!I32</f>
        <v/>
      </c>
      <c r="I27" s="19">
        <f>IS!J32</f>
        <v/>
      </c>
    </row>
    <row r="28">
      <c r="A28" s="8" t="inlineStr">
        <is>
          <t>Cash from operations</t>
        </is>
      </c>
      <c r="B28" s="18">
        <f>CF!C26</f>
        <v/>
      </c>
      <c r="C28" s="18">
        <f>CF!D26</f>
        <v/>
      </c>
      <c r="D28" s="18">
        <f>CF!E26</f>
        <v/>
      </c>
      <c r="E28" s="18">
        <f>CF!F26</f>
        <v/>
      </c>
      <c r="F28" s="18">
        <f>CF!G26</f>
        <v/>
      </c>
      <c r="G28" s="18">
        <f>CF!H26</f>
        <v/>
      </c>
      <c r="H28" s="18">
        <f>CF!I26</f>
        <v/>
      </c>
      <c r="I28" s="18">
        <f>CF!J26</f>
        <v/>
      </c>
    </row>
    <row r="29">
      <c r="A29" s="8" t="inlineStr">
        <is>
          <t>Free cash flow</t>
        </is>
      </c>
      <c r="B29" s="18">
        <f>CF!C52</f>
        <v/>
      </c>
      <c r="C29" s="18">
        <f>CF!D52</f>
        <v/>
      </c>
      <c r="D29" s="18">
        <f>CF!E52</f>
        <v/>
      </c>
      <c r="E29" s="18">
        <f>CF!F52</f>
        <v/>
      </c>
      <c r="F29" s="18">
        <f>CF!G52</f>
        <v/>
      </c>
      <c r="G29" s="18">
        <f>CF!H52</f>
        <v/>
      </c>
      <c r="H29" s="18">
        <f>CF!I52</f>
        <v/>
      </c>
      <c r="I29" s="18">
        <f>CF!J52</f>
        <v/>
      </c>
    </row>
    <row r="30">
      <c r="A30" s="8" t="inlineStr">
        <is>
          <t>Cash + investments</t>
        </is>
      </c>
      <c r="B30" s="18">
        <f>BS!C56</f>
        <v/>
      </c>
      <c r="C30" s="18">
        <f>BS!D56</f>
        <v/>
      </c>
      <c r="D30" s="18">
        <f>BS!E56</f>
        <v/>
      </c>
      <c r="E30" s="18">
        <f>BS!F56</f>
        <v/>
      </c>
      <c r="F30" s="18">
        <f>BS!G56</f>
        <v/>
      </c>
      <c r="G30" s="18">
        <f>BS!H56</f>
        <v/>
      </c>
      <c r="H30" s="18">
        <f>BS!I56</f>
        <v/>
      </c>
      <c r="I30" s="18">
        <f>BS!J56</f>
        <v/>
      </c>
    </row>
    <row r="31">
      <c r="A31" s="8" t="inlineStr">
        <is>
          <t>Return on equity</t>
        </is>
      </c>
      <c r="B31" s="17">
        <f>BS!C59</f>
        <v/>
      </c>
      <c r="C31" s="17">
        <f>BS!D59</f>
        <v/>
      </c>
      <c r="D31" s="17">
        <f>BS!E59</f>
        <v/>
      </c>
      <c r="E31" s="17">
        <f>BS!F59</f>
        <v/>
      </c>
      <c r="F31" s="17">
        <f>BS!G59</f>
        <v/>
      </c>
      <c r="G31" s="17">
        <f>BS!H59</f>
        <v/>
      </c>
      <c r="H31" s="17">
        <f>BS!I59</f>
        <v/>
      </c>
      <c r="I31" s="17">
        <f>BS!J59</f>
        <v/>
      </c>
    </row>
    <row r="33">
      <c r="A33" s="6" t="inlineStr">
        <is>
          <t>FCFF (Rs crore)</t>
        </is>
      </c>
      <c r="E33" s="16">
        <f>DCF!F19</f>
        <v/>
      </c>
      <c r="F33" s="16">
        <f>DCF!G19</f>
        <v/>
      </c>
      <c r="G33" s="16">
        <f>DCF!H19</f>
        <v/>
      </c>
      <c r="H33" s="16">
        <f>DCF!I19</f>
        <v/>
      </c>
      <c r="I33" s="16">
        <f>DCF!J19</f>
        <v/>
      </c>
    </row>
    <row r="35">
      <c r="A35" s="20" t="inlineStr">
        <is>
          <t>Sheet guide:  Inputs -&gt; Segments -&gt; IS / BS / CF -&gt; Sched -&gt; WACC -&gt; DCF -&gt; Sens -&gt; Scenarios -&gt; Checks -&gt; Notes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Inputs &amp; Assumptions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Assumption</t>
        </is>
      </c>
      <c r="B4" s="24" t="inlineStr">
        <is>
          <t>Unit</t>
        </is>
      </c>
      <c r="C4" s="24" t="inlineStr">
        <is>
          <t>FY23A / value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6" t="inlineStr">
        <is>
          <t>Scenario selector (1 = Base, 2 = Bull, 3 = Bear)</t>
        </is>
      </c>
      <c r="B6" s="26" t="inlineStr">
        <is>
          <t>#</t>
        </is>
      </c>
      <c r="C6" s="27" t="n">
        <v>1</v>
      </c>
      <c r="L6" s="28" t="inlineStr">
        <is>
          <t>Change this cell to flip every scenario-driven assumption below. All three statements and the DCF update live.</t>
        </is>
      </c>
    </row>
    <row r="7">
      <c r="A7" s="6" t="inlineStr">
        <is>
          <t>Active scenario</t>
        </is>
      </c>
      <c r="B7" s="26" t="inlineStr"/>
      <c r="C7" s="29">
        <f>CHOOSE(C6,"Base","Bull","Bear")</f>
        <v/>
      </c>
    </row>
    <row r="9">
      <c r="A9" s="30" t="inlineStr">
        <is>
          <t>A. SCENARIO-DRIVEN ASSUMPTIONS  (live row = CHOOSE of the three cases)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</row>
    <row r="10">
      <c r="A10" s="8" t="inlineStr">
        <is>
          <t>Constant-currency USD growth adjustment (all verticals): Base</t>
        </is>
      </c>
      <c r="B10" s="26" t="inlineStr">
        <is>
          <t>pp</t>
        </is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L10" s="28" t="inlineStr">
        <is>
          <t>Added to every vertical growth rate in section B. Base = 0.</t>
        </is>
      </c>
    </row>
    <row r="11">
      <c r="A11" s="8" t="inlineStr">
        <is>
          <t>Constant-currency USD growth adjustment: Bull</t>
        </is>
      </c>
      <c r="B11" s="26" t="inlineStr">
        <is>
          <t>pp</t>
        </is>
      </c>
      <c r="F11" s="32" t="n">
        <v>0.015</v>
      </c>
      <c r="G11" s="32" t="n">
        <v>0.02</v>
      </c>
      <c r="H11" s="32" t="n">
        <v>0.02</v>
      </c>
      <c r="I11" s="32" t="n">
        <v>0.02</v>
      </c>
      <c r="J11" s="32" t="n">
        <v>0.02</v>
      </c>
      <c r="L11" s="28" t="inlineStr">
        <is>
          <t>Faster GenAI-led deal ramp-up, discretionary spend recovery, large-deal conversion.</t>
        </is>
      </c>
    </row>
    <row r="12">
      <c r="A12" s="8" t="inlineStr">
        <is>
          <t>Constant-currency USD growth adjustment: Bear</t>
        </is>
      </c>
      <c r="B12" s="26" t="inlineStr">
        <is>
          <t>pp</t>
        </is>
      </c>
      <c r="F12" s="32" t="n">
        <v>-0.02</v>
      </c>
      <c r="G12" s="32" t="n">
        <v>-0.025</v>
      </c>
      <c r="H12" s="32" t="n">
        <v>-0.025</v>
      </c>
      <c r="I12" s="32" t="n">
        <v>-0.025</v>
      </c>
      <c r="J12" s="32" t="n">
        <v>-0.02</v>
      </c>
      <c r="L12" s="28" t="inlineStr">
        <is>
          <t>Discretionary spend stays weak, AI-driven deflation of effort-based pricing, US/Europe slowdown.</t>
        </is>
      </c>
    </row>
    <row r="13">
      <c r="A13" s="6" t="inlineStr">
        <is>
          <t>Constant-currency USD growth adjustment: LIVE</t>
        </is>
      </c>
      <c r="B13" s="26" t="inlineStr">
        <is>
          <t>pp</t>
        </is>
      </c>
      <c r="F13" s="33">
        <f>CHOOSE($C$6,F10,F11,F12)</f>
        <v/>
      </c>
      <c r="G13" s="33">
        <f>CHOOSE($C$6,G10,G11,G12)</f>
        <v/>
      </c>
      <c r="H13" s="33">
        <f>CHOOSE($C$6,H10,H11,H12)</f>
        <v/>
      </c>
      <c r="I13" s="33">
        <f>CHOOSE($C$6,I10,I11,I12)</f>
        <v/>
      </c>
      <c r="J13" s="33">
        <f>CHOOSE($C$6,J10,J11,J12)</f>
        <v/>
      </c>
    </row>
    <row r="15">
      <c r="A15" s="8" t="inlineStr">
        <is>
          <t>Employee cost per head growth (INR): Base</t>
        </is>
      </c>
      <c r="B15" s="26" t="inlineStr">
        <is>
          <t>%</t>
        </is>
      </c>
      <c r="F15" s="32" t="n">
        <v>0.04</v>
      </c>
      <c r="G15" s="32" t="n">
        <v>0.045</v>
      </c>
      <c r="H15" s="32" t="n">
        <v>0.045</v>
      </c>
      <c r="I15" s="32" t="n">
        <v>0.045</v>
      </c>
      <c r="J15" s="32" t="n">
        <v>0.045</v>
      </c>
      <c r="L15" s="28" t="inlineStr">
        <is>
          <t>FY25A: ~Rs26.8 lakh per average employee. Wage inflation + FX translation on overseas staff, partly offset by pyramid / utilisation gains.</t>
        </is>
      </c>
    </row>
    <row r="16">
      <c r="A16" s="8" t="inlineStr">
        <is>
          <t>Employee cost per head growth (INR): Bull</t>
        </is>
      </c>
      <c r="B16" s="26" t="inlineStr">
        <is>
          <t>%</t>
        </is>
      </c>
      <c r="F16" s="32" t="n">
        <v>0.036</v>
      </c>
      <c r="G16" s="32" t="n">
        <v>0.041</v>
      </c>
      <c r="H16" s="32" t="n">
        <v>0.041</v>
      </c>
      <c r="I16" s="32" t="n">
        <v>0.041</v>
      </c>
      <c r="J16" s="32" t="n">
        <v>0.041</v>
      </c>
      <c r="L16" s="28" t="inlineStr">
        <is>
          <t>Base less 0.4pp: stronger pyramid, automation and utilisation.</t>
        </is>
      </c>
    </row>
    <row r="17">
      <c r="A17" s="8" t="inlineStr">
        <is>
          <t>Employee cost per head growth (INR): Bear</t>
        </is>
      </c>
      <c r="B17" s="26" t="inlineStr">
        <is>
          <t>%</t>
        </is>
      </c>
      <c r="F17" s="32" t="n">
        <v>0.045</v>
      </c>
      <c r="G17" s="32" t="n">
        <v>0.05</v>
      </c>
      <c r="H17" s="32" t="n">
        <v>0.05</v>
      </c>
      <c r="I17" s="32" t="n">
        <v>0.05</v>
      </c>
      <c r="J17" s="32" t="n">
        <v>0.05</v>
      </c>
      <c r="L17" s="28" t="inlineStr">
        <is>
          <t>Base plus 0.5pp: wage pressure, AI-skill premiums, weaker pricing power.</t>
        </is>
      </c>
    </row>
    <row r="18">
      <c r="A18" s="6" t="inlineStr">
        <is>
          <t>Employee cost per head growth (INR): LIVE</t>
        </is>
      </c>
      <c r="B18" s="26" t="inlineStr">
        <is>
          <t>%</t>
        </is>
      </c>
      <c r="F18" s="33">
        <f>CHOOSE($C$6,F15,F16,F17)</f>
        <v/>
      </c>
      <c r="G18" s="33">
        <f>CHOOSE($C$6,G15,G16,G17)</f>
        <v/>
      </c>
      <c r="H18" s="33">
        <f>CHOOSE($C$6,H15,H16,H17)</f>
        <v/>
      </c>
      <c r="I18" s="33">
        <f>CHOOSE($C$6,I15,I16,I17)</f>
        <v/>
      </c>
      <c r="J18" s="33">
        <f>CHOOSE($C$6,J15,J16,J17)</f>
        <v/>
      </c>
    </row>
    <row r="20">
      <c r="A20" s="30" t="inlineStr">
        <is>
          <t>B. REVENUE: CONSTANT-CURRENCY USD GROWTH BY INDUSTRY VERTICAL (Base) AND INR/USD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>
      <c r="A21" s="8" t="inlineStr">
        <is>
          <t>Financial Services (incl. Insurance) - USD growth (Base)</t>
        </is>
      </c>
      <c r="B21" s="26" t="inlineStr">
        <is>
          <t>%</t>
        </is>
      </c>
      <c r="D21" s="13">
        <f>Segments!D58/Segments!C58-1</f>
        <v/>
      </c>
      <c r="E21" s="13">
        <f>Segments!E58/Segments!D58-1</f>
        <v/>
      </c>
      <c r="F21" s="32" t="n">
        <v>0.025</v>
      </c>
      <c r="G21" s="32" t="n">
        <v>0.055</v>
      </c>
      <c r="H21" s="32" t="n">
        <v>0.065</v>
      </c>
      <c r="I21" s="32" t="n">
        <v>0.07000000000000001</v>
      </c>
      <c r="J21" s="32" t="n">
        <v>0.065</v>
      </c>
      <c r="L21" s="28" t="inlineStr">
        <is>
          <t>FY25A USD growth is derived from INR segment revenue at the average INR/USD rate (cross-currency effects included). FY26E anchored to management FY26 constant-currency guidance of 0-3% issued with Q4 FY25 results (public release, not in the Annual Report) - verify.</t>
        </is>
      </c>
    </row>
    <row r="22">
      <c r="A22" s="8" t="inlineStr">
        <is>
          <t>Retail (incl. CPG, Logistics) - USD growth (Base)</t>
        </is>
      </c>
      <c r="B22" s="26" t="inlineStr">
        <is>
          <t>%</t>
        </is>
      </c>
      <c r="D22" s="13">
        <f>Segments!D59/Segments!C59-1</f>
        <v/>
      </c>
      <c r="E22" s="13">
        <f>Segments!E59/Segments!D59-1</f>
        <v/>
      </c>
      <c r="F22" s="32" t="n">
        <v>0.005</v>
      </c>
      <c r="G22" s="32" t="n">
        <v>0.035</v>
      </c>
      <c r="H22" s="32" t="n">
        <v>0.05</v>
      </c>
      <c r="I22" s="32" t="n">
        <v>0.055</v>
      </c>
      <c r="J22" s="32" t="n">
        <v>0.055</v>
      </c>
    </row>
    <row r="23">
      <c r="A23" s="8" t="inlineStr">
        <is>
          <t>Communication (incl. Telecom OEM, Media) - USD growth (Base)</t>
        </is>
      </c>
      <c r="B23" s="26" t="inlineStr">
        <is>
          <t>%</t>
        </is>
      </c>
      <c r="D23" s="13">
        <f>Segments!D60/Segments!C60-1</f>
        <v/>
      </c>
      <c r="E23" s="13">
        <f>Segments!E60/Segments!D60-1</f>
        <v/>
      </c>
      <c r="F23" s="32" t="n">
        <v>0.01</v>
      </c>
      <c r="G23" s="32" t="n">
        <v>0.04</v>
      </c>
      <c r="H23" s="32" t="n">
        <v>0.055</v>
      </c>
      <c r="I23" s="32" t="n">
        <v>0.06</v>
      </c>
      <c r="J23" s="32" t="n">
        <v>0.06</v>
      </c>
    </row>
    <row r="24">
      <c r="A24" s="8" t="inlineStr">
        <is>
          <t>Energy, Utilities, Resources &amp; Services - USD growth (Base)</t>
        </is>
      </c>
      <c r="B24" s="26" t="inlineStr">
        <is>
          <t>%</t>
        </is>
      </c>
      <c r="D24" s="13">
        <f>Segments!D61/Segments!C61-1</f>
        <v/>
      </c>
      <c r="E24" s="13">
        <f>Segments!E61/Segments!D61-1</f>
        <v/>
      </c>
      <c r="F24" s="32" t="n">
        <v>0.035</v>
      </c>
      <c r="G24" s="32" t="n">
        <v>0.06</v>
      </c>
      <c r="H24" s="32" t="n">
        <v>0.07000000000000001</v>
      </c>
      <c r="I24" s="32" t="n">
        <v>0.07000000000000001</v>
      </c>
      <c r="J24" s="32" t="n">
        <v>0.065</v>
      </c>
    </row>
    <row r="25">
      <c r="A25" s="8" t="inlineStr">
        <is>
          <t>Manufacturing - USD growth (Base)</t>
        </is>
      </c>
      <c r="B25" s="26" t="inlineStr">
        <is>
          <t>%</t>
        </is>
      </c>
      <c r="D25" s="13">
        <f>Segments!D62/Segments!C62-1</f>
        <v/>
      </c>
      <c r="E25" s="13">
        <f>Segments!E62/Segments!D62-1</f>
        <v/>
      </c>
      <c r="F25" s="32" t="n">
        <v>0.04</v>
      </c>
      <c r="G25" s="32" t="n">
        <v>0.07000000000000001</v>
      </c>
      <c r="H25" s="32" t="n">
        <v>0.08</v>
      </c>
      <c r="I25" s="32" t="n">
        <v>0.08</v>
      </c>
      <c r="J25" s="32" t="n">
        <v>0.075</v>
      </c>
    </row>
    <row r="26">
      <c r="A26" s="8" t="inlineStr">
        <is>
          <t>Hi-Tech - USD growth (Base)</t>
        </is>
      </c>
      <c r="B26" s="26" t="inlineStr">
        <is>
          <t>%</t>
        </is>
      </c>
      <c r="D26" s="13">
        <f>Segments!D63/Segments!C63-1</f>
        <v/>
      </c>
      <c r="E26" s="13">
        <f>Segments!E63/Segments!D63-1</f>
        <v/>
      </c>
      <c r="F26" s="32" t="n">
        <v>-0.01</v>
      </c>
      <c r="G26" s="32" t="n">
        <v>0.03</v>
      </c>
      <c r="H26" s="32" t="n">
        <v>0.05</v>
      </c>
      <c r="I26" s="32" t="n">
        <v>0.055</v>
      </c>
      <c r="J26" s="32" t="n">
        <v>0.055</v>
      </c>
    </row>
    <row r="27">
      <c r="A27" s="8" t="inlineStr">
        <is>
          <t>Life Sciences (incl. Healthcare) - USD growth (Base)</t>
        </is>
      </c>
      <c r="B27" s="26" t="inlineStr">
        <is>
          <t>%</t>
        </is>
      </c>
      <c r="D27" s="13">
        <f>Segments!D64/Segments!C64-1</f>
        <v/>
      </c>
      <c r="E27" s="13">
        <f>Segments!E64/Segments!D64-1</f>
        <v/>
      </c>
      <c r="F27" s="32" t="n">
        <v>0.025</v>
      </c>
      <c r="G27" s="32" t="n">
        <v>0.05</v>
      </c>
      <c r="H27" s="32" t="n">
        <v>0.06</v>
      </c>
      <c r="I27" s="32" t="n">
        <v>0.065</v>
      </c>
      <c r="J27" s="32" t="n">
        <v>0.06</v>
      </c>
    </row>
    <row r="28">
      <c r="A28" s="8" t="inlineStr">
        <is>
          <t>All other segments (India, Japan, China, Public Services) - USD growth (Base)</t>
        </is>
      </c>
      <c r="B28" s="26" t="inlineStr">
        <is>
          <t>%</t>
        </is>
      </c>
      <c r="D28" s="13">
        <f>Segments!D65/Segments!C65-1</f>
        <v/>
      </c>
      <c r="E28" s="13">
        <f>Segments!E65/Segments!D65-1</f>
        <v/>
      </c>
      <c r="F28" s="32" t="n">
        <v>0.03</v>
      </c>
      <c r="G28" s="32" t="n">
        <v>0.05</v>
      </c>
      <c r="H28" s="32" t="n">
        <v>0.06</v>
      </c>
      <c r="I28" s="32" t="n">
        <v>0.06</v>
      </c>
      <c r="J28" s="32" t="n">
        <v>0.06</v>
      </c>
    </row>
    <row r="29">
      <c r="A29" s="8" t="inlineStr">
        <is>
          <t>INR depreciation vs USD (average rate, YoY)</t>
        </is>
      </c>
      <c r="B29" s="26" t="inlineStr">
        <is>
          <t>%</t>
        </is>
      </c>
      <c r="D29" s="13">
        <f>Segments!D48/Segments!C48-1</f>
        <v/>
      </c>
      <c r="E29" s="13">
        <f>Segments!E48/Segments!D48-1</f>
        <v/>
      </c>
      <c r="F29" s="32" t="n">
        <v>0.02</v>
      </c>
      <c r="G29" s="32" t="n">
        <v>0.015</v>
      </c>
      <c r="H29" s="32" t="n">
        <v>0.015</v>
      </c>
      <c r="I29" s="32" t="n">
        <v>0.015</v>
      </c>
      <c r="J29" s="32" t="n">
        <v>0.015</v>
      </c>
      <c r="L29" s="28" t="inlineStr">
        <is>
          <t>FY25A average Rs84.55/US$ (FY24A 82.79). Assumes steady ~1.5% p.a. depreciation consistent with inflation differentials; a major earnings sensitivity.</t>
        </is>
      </c>
    </row>
    <row r="31">
      <c r="A31" s="30" t="inlineStr">
        <is>
          <t>C. HEADCOUNT, COSTS AND MARGIN DRIVERS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>
      <c r="A32" s="8" t="inlineStr">
        <is>
          <t>Year-end headcount growth (Base, before scenario link)</t>
        </is>
      </c>
      <c r="B32" s="26" t="inlineStr">
        <is>
          <t>%</t>
        </is>
      </c>
      <c r="E32" s="13">
        <f>Segments!E49/Segments!D49-1</f>
        <v/>
      </c>
      <c r="F32" s="32" t="n">
        <v>0.01</v>
      </c>
      <c r="G32" s="32" t="n">
        <v>0.025</v>
      </c>
      <c r="H32" s="32" t="n">
        <v>0.035</v>
      </c>
      <c r="I32" s="32" t="n">
        <v>0.04</v>
      </c>
      <c r="J32" s="32" t="n">
        <v>0.035</v>
      </c>
      <c r="L32" s="28" t="inlineStr">
        <is>
          <t>FY25A +2.0% (317,240 -&gt; 323,578). Headcount grows at roughly half of revenue growth as productivity (automation, GenAI) rises.</t>
        </is>
      </c>
    </row>
    <row r="33">
      <c r="A33" s="8" t="inlineStr">
        <is>
          <t>Headcount sensitivity to scenario growth adjustment (elasticity)</t>
        </is>
      </c>
      <c r="B33" s="26" t="inlineStr">
        <is>
          <t>x</t>
        </is>
      </c>
      <c r="C33" s="34" t="n">
        <v>0.8</v>
      </c>
      <c r="L33" s="28" t="inlineStr">
        <is>
          <t>Bull/Bear revenue change flows 80% into headcount; the rest is productivity / pricing.</t>
        </is>
      </c>
    </row>
    <row r="34">
      <c r="A34" s="8" t="inlineStr">
        <is>
          <t>Cost of technical sub-contractors, % of revenue</t>
        </is>
      </c>
      <c r="B34" s="26" t="inlineStr">
        <is>
          <t>%</t>
        </is>
      </c>
      <c r="C34" s="12">
        <f>IS!C11/IS!C7</f>
        <v/>
      </c>
      <c r="D34" s="12">
        <f>IS!D11/IS!D7</f>
        <v/>
      </c>
      <c r="E34" s="12">
        <f>IS!E11/IS!E7</f>
        <v/>
      </c>
      <c r="F34" s="35" t="n">
        <v>0.079</v>
      </c>
      <c r="G34" s="35" t="n">
        <v>0.079</v>
      </c>
      <c r="H34" s="35" t="n">
        <v>0.079</v>
      </c>
      <c r="I34" s="35" t="n">
        <v>0.079</v>
      </c>
      <c r="J34" s="35" t="n">
        <v>0.079</v>
      </c>
    </row>
    <row r="35">
      <c r="A35" s="8" t="inlineStr">
        <is>
          <t>Travel expenses, % of revenue</t>
        </is>
      </c>
      <c r="B35" s="26" t="inlineStr">
        <is>
          <t>%</t>
        </is>
      </c>
      <c r="C35" s="12">
        <f>IS!C12/IS!C7</f>
        <v/>
      </c>
      <c r="D35" s="12">
        <f>IS!D12/IS!D7</f>
        <v/>
      </c>
      <c r="E35" s="12">
        <f>IS!E12/IS!E7</f>
        <v/>
      </c>
      <c r="F35" s="35" t="n">
        <v>0.0116</v>
      </c>
      <c r="G35" s="35" t="n">
        <v>0.0116</v>
      </c>
      <c r="H35" s="35" t="n">
        <v>0.0116</v>
      </c>
      <c r="I35" s="35" t="n">
        <v>0.0116</v>
      </c>
      <c r="J35" s="35" t="n">
        <v>0.0116</v>
      </c>
    </row>
    <row r="36">
      <c r="A36" s="8" t="inlineStr">
        <is>
          <t>Cost of software packages and others, % of revenue</t>
        </is>
      </c>
      <c r="B36" s="26" t="inlineStr">
        <is>
          <t>%</t>
        </is>
      </c>
      <c r="C36" s="12">
        <f>IS!C13/IS!C7</f>
        <v/>
      </c>
      <c r="D36" s="12">
        <f>IS!D13/IS!D7</f>
        <v/>
      </c>
      <c r="E36" s="12">
        <f>IS!E13/IS!E7</f>
        <v/>
      </c>
      <c r="F36" s="35" t="n">
        <v>0.0975</v>
      </c>
      <c r="G36" s="35" t="n">
        <v>0.0975</v>
      </c>
      <c r="H36" s="35" t="n">
        <v>0.0975</v>
      </c>
      <c r="I36" s="35" t="n">
        <v>0.0975</v>
      </c>
      <c r="J36" s="35" t="n">
        <v>0.0975</v>
      </c>
      <c r="L36" s="28" t="inlineStr">
        <is>
          <t>Third-party software / hardware bought for client deals (pass-through, low margin). Rose from 7.4% (FY23) to 9.8% (FY25) with large-deal mix; held at FY25 level.</t>
        </is>
      </c>
    </row>
    <row r="37">
      <c r="A37" s="8" t="inlineStr">
        <is>
          <t>Communication expenses, % of revenue</t>
        </is>
      </c>
      <c r="B37" s="26" t="inlineStr">
        <is>
          <t>%</t>
        </is>
      </c>
      <c r="C37" s="12">
        <f>IS!C14/IS!C7</f>
        <v/>
      </c>
      <c r="D37" s="12">
        <f>IS!D14/IS!D7</f>
        <v/>
      </c>
      <c r="E37" s="12">
        <f>IS!E14/IS!E7</f>
        <v/>
      </c>
      <c r="F37" s="35" t="n">
        <v>0.0038</v>
      </c>
      <c r="G37" s="35" t="n">
        <v>0.0038</v>
      </c>
      <c r="H37" s="35" t="n">
        <v>0.0038</v>
      </c>
      <c r="I37" s="35" t="n">
        <v>0.0038</v>
      </c>
      <c r="J37" s="35" t="n">
        <v>0.0038</v>
      </c>
    </row>
    <row r="38">
      <c r="A38" s="8" t="inlineStr">
        <is>
          <t>Consultancy and professional charges, % of revenue</t>
        </is>
      </c>
      <c r="B38" s="26" t="inlineStr">
        <is>
          <t>%</t>
        </is>
      </c>
      <c r="C38" s="12">
        <f>IS!C15/IS!C7</f>
        <v/>
      </c>
      <c r="D38" s="12">
        <f>IS!D15/IS!D7</f>
        <v/>
      </c>
      <c r="E38" s="12">
        <f>IS!E15/IS!E7</f>
        <v/>
      </c>
      <c r="F38" s="35" t="n">
        <v>0.0102</v>
      </c>
      <c r="G38" s="35" t="n">
        <v>0.0102</v>
      </c>
      <c r="H38" s="35" t="n">
        <v>0.0102</v>
      </c>
      <c r="I38" s="35" t="n">
        <v>0.0102</v>
      </c>
      <c r="J38" s="35" t="n">
        <v>0.0102</v>
      </c>
    </row>
    <row r="39">
      <c r="A39" s="8" t="inlineStr">
        <is>
          <t>Other expenses, % of revenue</t>
        </is>
      </c>
      <c r="B39" s="26" t="inlineStr">
        <is>
          <t>%</t>
        </is>
      </c>
      <c r="C39" s="12">
        <f>IS!C18/IS!C7</f>
        <v/>
      </c>
      <c r="D39" s="12">
        <f>IS!D18/IS!D7</f>
        <v/>
      </c>
      <c r="E39" s="12">
        <f>IS!E18/IS!E7</f>
        <v/>
      </c>
      <c r="F39" s="35" t="n">
        <v>0.0294</v>
      </c>
      <c r="G39" s="35" t="n">
        <v>0.0294</v>
      </c>
      <c r="H39" s="35" t="n">
        <v>0.0294</v>
      </c>
      <c r="I39" s="35" t="n">
        <v>0.0294</v>
      </c>
      <c r="J39" s="35" t="n">
        <v>0.0294</v>
      </c>
    </row>
    <row r="40">
      <c r="A40" s="8" t="inlineStr">
        <is>
          <t>Stock-based compensation (non-cash, inside employee cost), % of revenue</t>
        </is>
      </c>
      <c r="B40" s="26" t="inlineStr">
        <is>
          <t>%</t>
        </is>
      </c>
      <c r="C40" s="12">
        <f>CF!C15/IS!C7</f>
        <v/>
      </c>
      <c r="D40" s="12">
        <f>CF!D15/IS!D7</f>
        <v/>
      </c>
      <c r="E40" s="12">
        <f>CF!E15/IS!E7</f>
        <v/>
      </c>
      <c r="F40" s="35" t="n">
        <v>0.005</v>
      </c>
      <c r="G40" s="35" t="n">
        <v>0.005</v>
      </c>
      <c r="H40" s="35" t="n">
        <v>0.005</v>
      </c>
      <c r="I40" s="35" t="n">
        <v>0.005</v>
      </c>
      <c r="J40" s="35" t="n">
        <v>0.005</v>
      </c>
      <c r="L40" s="28" t="inlineStr">
        <is>
          <t>Added back in the cash flow statement and credited to equity; NOT added back in FCFF (treated as a real cost).</t>
        </is>
      </c>
    </row>
    <row r="42">
      <c r="A42" s="30" t="inlineStr">
        <is>
          <t>D. OTHER P&amp;L, CAPEX, LEASES AND BALANCE SHEET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</row>
    <row r="43">
      <c r="A43" s="8" t="inlineStr">
        <is>
          <t>Other income: yield on opening cash + investments</t>
        </is>
      </c>
      <c r="B43" s="26" t="inlineStr">
        <is>
          <t>%</t>
        </is>
      </c>
      <c r="D43" s="13">
        <f>IS!D8/(BS!C23+BS!C21+BS!C13)</f>
        <v/>
      </c>
      <c r="E43" s="13">
        <f>IS!E8/(BS!D23+BS!D21+BS!D13)</f>
        <v/>
      </c>
      <c r="F43" s="32" t="n">
        <v>0.065</v>
      </c>
      <c r="G43" s="32" t="n">
        <v>0.065</v>
      </c>
      <c r="H43" s="32" t="n">
        <v>0.065</v>
      </c>
      <c r="I43" s="32" t="n">
        <v>0.065</v>
      </c>
      <c r="J43" s="32" t="n">
        <v>0.065</v>
      </c>
      <c r="L43" s="28" t="inlineStr">
        <is>
          <t>FY25A: 9.1% total, of which interest &amp; dividend ~6.5%; the rest is FX / investment gains and Rs327 crore of interest on tax refunds (not repeated).</t>
        </is>
      </c>
    </row>
    <row r="44">
      <c r="A44" s="8" t="inlineStr">
        <is>
          <t>Tax rate (on PBT; and on EBIT in the DCF)</t>
        </is>
      </c>
      <c r="B44" s="26" t="inlineStr">
        <is>
          <t>%</t>
        </is>
      </c>
      <c r="C44" s="13">
        <f>IS!C23/IS!C20</f>
        <v/>
      </c>
      <c r="D44" s="13">
        <f>IS!D23/IS!D20</f>
        <v/>
      </c>
      <c r="E44" s="13">
        <f>IS!E23/IS!E20</f>
        <v/>
      </c>
      <c r="F44" s="32" t="n">
        <v>0.275</v>
      </c>
      <c r="G44" s="32" t="n">
        <v>0.275</v>
      </c>
      <c r="H44" s="32" t="n">
        <v>0.275</v>
      </c>
      <c r="I44" s="32" t="n">
        <v>0.275</v>
      </c>
      <c r="J44" s="32" t="n">
        <v>0.275</v>
      </c>
      <c r="L44" s="28" t="inlineStr">
        <is>
          <t>Effective rate FY23A 27.7%, FY24A 27.1%, FY25A 28.9% (statutory 25.17% plus overseas taxes and non-deductible items).</t>
        </is>
      </c>
    </row>
    <row r="45">
      <c r="A45" s="8" t="inlineStr">
        <is>
          <t>Non-controlling interest, % of PAT</t>
        </is>
      </c>
      <c r="B45" s="26" t="inlineStr">
        <is>
          <t>%</t>
        </is>
      </c>
      <c r="C45" s="12">
        <f>IS!C25/IS!C24</f>
        <v/>
      </c>
      <c r="D45" s="12">
        <f>IS!D25/IS!D24</f>
        <v/>
      </c>
      <c r="E45" s="12">
        <f>IS!E25/IS!E24</f>
        <v/>
      </c>
      <c r="F45" s="35" t="n">
        <v>0.0014</v>
      </c>
      <c r="G45" s="35" t="n">
        <v>0.0014</v>
      </c>
      <c r="H45" s="35" t="n">
        <v>0.0014</v>
      </c>
      <c r="I45" s="35" t="n">
        <v>0.0014</v>
      </c>
      <c r="J45" s="35" t="n">
        <v>0.0014</v>
      </c>
    </row>
    <row r="46">
      <c r="A46" s="8" t="inlineStr">
        <is>
          <t>Dividend per share paid in year (Rs)</t>
        </is>
      </c>
      <c r="B46" s="26" t="inlineStr">
        <is>
          <t>Rs</t>
        </is>
      </c>
      <c r="F46" s="36" t="n">
        <v>45</v>
      </c>
      <c r="G46" s="36" t="n">
        <v>48</v>
      </c>
      <c r="H46" s="36" t="n">
        <v>52</v>
      </c>
      <c r="I46" s="36" t="n">
        <v>56</v>
      </c>
      <c r="J46" s="36" t="n">
        <v>60</v>
      </c>
      <c r="L46" s="28" t="inlineStr">
        <is>
          <t>FY26E = FY25 final Rs22 + FY26 interim ~Rs23. Policy: ~85% of free cash flow returned over five years via dividends / buybacks. FY25A paid Rs49 incl. Rs8 special.</t>
        </is>
      </c>
    </row>
    <row r="47">
      <c r="A47" s="8" t="inlineStr">
        <is>
          <t>Dividends to NCI, % of NCI profit</t>
        </is>
      </c>
      <c r="B47" s="26" t="inlineStr">
        <is>
          <t>%</t>
        </is>
      </c>
      <c r="F47" s="32" t="n">
        <v>0.5</v>
      </c>
      <c r="G47" s="32" t="n">
        <v>0.5</v>
      </c>
      <c r="H47" s="32" t="n">
        <v>0.5</v>
      </c>
      <c r="I47" s="32" t="n">
        <v>0.5</v>
      </c>
      <c r="J47" s="32" t="n">
        <v>0.5</v>
      </c>
    </row>
    <row r="48">
      <c r="A48" s="8" t="inlineStr">
        <is>
          <t>Shares outstanding (crore) = equity share capital Rs2,073 crore / Rs5</t>
        </is>
      </c>
      <c r="B48" s="26" t="inlineStr">
        <is>
          <t>crore</t>
        </is>
      </c>
      <c r="D48" s="37" t="n">
        <v>413.857</v>
      </c>
      <c r="E48" s="37" t="n">
        <v>414.161</v>
      </c>
      <c r="F48" s="37" t="n">
        <v>414.6</v>
      </c>
      <c r="G48" s="37" t="n">
        <v>414.6</v>
      </c>
      <c r="H48" s="37" t="n">
        <v>414.6</v>
      </c>
      <c r="I48" s="37" t="n">
        <v>414.6</v>
      </c>
      <c r="J48" s="37" t="n">
        <v>414.6</v>
      </c>
      <c r="L48" s="28" t="inlineStr">
        <is>
          <t>Hist = weighted average basic shares (EPS note). 1 crore = 10 million.</t>
        </is>
      </c>
    </row>
    <row r="49">
      <c r="A49" s="8" t="inlineStr">
        <is>
          <t>Capex (PPE + intangibles), % of revenue</t>
        </is>
      </c>
      <c r="B49" s="26" t="inlineStr">
        <is>
          <t>%</t>
        </is>
      </c>
      <c r="C49" s="12">
        <f>-(CF!C28)/IS!C7</f>
        <v/>
      </c>
      <c r="D49" s="12">
        <f>-(CF!D28)/IS!D7</f>
        <v/>
      </c>
      <c r="E49" s="12">
        <f>-(CF!E28)/IS!E7</f>
        <v/>
      </c>
      <c r="F49" s="35" t="n">
        <v>0.016</v>
      </c>
      <c r="G49" s="35" t="n">
        <v>0.016</v>
      </c>
      <c r="H49" s="35" t="n">
        <v>0.016</v>
      </c>
      <c r="I49" s="35" t="n">
        <v>0.016</v>
      </c>
      <c r="J49" s="35" t="n">
        <v>0.016</v>
      </c>
      <c r="L49" s="28" t="inlineStr">
        <is>
          <t>FY25A 1.4% / FY24A 1.4% / FY23A 1.8%. Asset-light; campus build-out largely complete. Held at 1.6% for sustaining + AI infrastructure.</t>
        </is>
      </c>
    </row>
    <row r="50">
      <c r="A50" s="8" t="inlineStr">
        <is>
          <t>PPE share of capex</t>
        </is>
      </c>
      <c r="B50" s="26" t="inlineStr">
        <is>
          <t>%</t>
        </is>
      </c>
      <c r="F50" s="32" t="n">
        <v>0.95</v>
      </c>
      <c r="G50" s="32" t="n">
        <v>0.95</v>
      </c>
      <c r="H50" s="32" t="n">
        <v>0.95</v>
      </c>
      <c r="I50" s="32" t="n">
        <v>0.95</v>
      </c>
      <c r="J50" s="32" t="n">
        <v>0.95</v>
      </c>
    </row>
    <row r="51">
      <c r="A51" s="8" t="inlineStr">
        <is>
          <t>New lease additions (ROU), % of revenue</t>
        </is>
      </c>
      <c r="B51" s="26" t="inlineStr">
        <is>
          <t>%</t>
        </is>
      </c>
      <c r="D51" s="35" t="n">
        <v>0.01425</v>
      </c>
      <c r="E51" s="35" t="n">
        <v>0.01323</v>
      </c>
      <c r="F51" s="35" t="n">
        <v>0.0135</v>
      </c>
      <c r="G51" s="35" t="n">
        <v>0.0135</v>
      </c>
      <c r="H51" s="35" t="n">
        <v>0.0135</v>
      </c>
      <c r="I51" s="35" t="n">
        <v>0.0135</v>
      </c>
      <c r="J51" s="35" t="n">
        <v>0.0135</v>
      </c>
      <c r="L51" s="28" t="inlineStr">
        <is>
          <t>FY25A Rs2,156 crore; FY24A Rs2,190 crore (Note 2.21).</t>
        </is>
      </c>
    </row>
    <row r="52">
      <c r="A52" s="8" t="inlineStr">
        <is>
          <t>D&amp;A rate on opening net block (PPE + ROU + intangibles)</t>
        </is>
      </c>
      <c r="B52" s="26" t="inlineStr">
        <is>
          <t>%</t>
        </is>
      </c>
      <c r="D52" s="13">
        <f>IS!D16/(BS!C8+BS!C9+BS!C12)</f>
        <v/>
      </c>
      <c r="E52" s="13">
        <f>IS!E16/(BS!D8+BS!D9+BS!D12)</f>
        <v/>
      </c>
      <c r="F52" s="32" t="n">
        <v>0.235</v>
      </c>
      <c r="G52" s="32" t="n">
        <v>0.235</v>
      </c>
      <c r="H52" s="32" t="n">
        <v>0.235</v>
      </c>
      <c r="I52" s="32" t="n">
        <v>0.235</v>
      </c>
      <c r="J52" s="32" t="n">
        <v>0.235</v>
      </c>
      <c r="L52" s="28" t="inlineStr">
        <is>
          <t>Uniform rate. FY25A 23.7%, FY24A 21.3%. Intangibles rose in FY25 after the in-tech acquisition.</t>
        </is>
      </c>
    </row>
    <row r="53">
      <c r="A53" s="8" t="inlineStr">
        <is>
          <t>Finance cost: rate on opening lease liabilities</t>
        </is>
      </c>
      <c r="B53" s="26" t="inlineStr">
        <is>
          <t>%</t>
        </is>
      </c>
      <c r="D53" s="13">
        <f>IS!D17/(BS!C44+BS!C38)</f>
        <v/>
      </c>
      <c r="E53" s="13">
        <f>IS!E17/(BS!D44+BS!D38)</f>
        <v/>
      </c>
      <c r="F53" s="32" t="n">
        <v>0.05</v>
      </c>
      <c r="G53" s="32" t="n">
        <v>0.05</v>
      </c>
      <c r="H53" s="32" t="n">
        <v>0.05</v>
      </c>
      <c r="I53" s="32" t="n">
        <v>0.05</v>
      </c>
      <c r="J53" s="32" t="n">
        <v>0.05</v>
      </c>
      <c r="L53" s="28" t="inlineStr">
        <is>
          <t>Infosys has NO borrowings: finance cost is almost entirely lease interest (FY25A Rs341 crore of Rs416 crore).</t>
        </is>
      </c>
    </row>
    <row r="54">
      <c r="A54" s="8" t="inlineStr">
        <is>
          <t>Lease payments (principal + interest), % of opening lease liability</t>
        </is>
      </c>
      <c r="B54" s="26" t="inlineStr">
        <is>
          <t>%</t>
        </is>
      </c>
      <c r="D54" s="13">
        <f>-CF!D36/(BS!C44+BS!C38)</f>
        <v/>
      </c>
      <c r="E54" s="13">
        <f>-CF!E36/(BS!D44+BS!D38)</f>
        <v/>
      </c>
      <c r="F54" s="32" t="n">
        <v>0.28</v>
      </c>
      <c r="G54" s="32" t="n">
        <v>0.28</v>
      </c>
      <c r="H54" s="32" t="n">
        <v>0.28</v>
      </c>
      <c r="I54" s="32" t="n">
        <v>0.28</v>
      </c>
      <c r="J54" s="32" t="n">
        <v>0.28</v>
      </c>
      <c r="L54" s="28" t="inlineStr">
        <is>
          <t>FY25A Rs2,355 crore / opening Rs8,359 crore = 28.2% (Infosys presents total lease payments in financing).</t>
        </is>
      </c>
    </row>
    <row r="55">
      <c r="A55" s="8" t="inlineStr">
        <is>
          <t>Current portion of lease liabilities, % of total</t>
        </is>
      </c>
      <c r="B55" s="26" t="inlineStr">
        <is>
          <t>%</t>
        </is>
      </c>
      <c r="C55" s="13">
        <f>BS!C44/(BS!C44+BS!C38)</f>
        <v/>
      </c>
      <c r="D55" s="13">
        <f>BS!D44/(BS!D44+BS!D38)</f>
        <v/>
      </c>
      <c r="E55" s="13">
        <f>BS!E44/(BS!E44+BS!E38)</f>
        <v/>
      </c>
      <c r="F55" s="13">
        <f>BS!$E$44/(BS!$E$44+BS!$E$38)</f>
        <v/>
      </c>
      <c r="G55" s="13">
        <f>BS!$E$44/(BS!$E$44+BS!$E$38)</f>
        <v/>
      </c>
      <c r="H55" s="13">
        <f>BS!$E$44/(BS!$E$44+BS!$E$38)</f>
        <v/>
      </c>
      <c r="I55" s="13">
        <f>BS!$E$44/(BS!$E$44+BS!$E$38)</f>
        <v/>
      </c>
      <c r="J55" s="13">
        <f>BS!$E$44/(BS!$E$44+BS!$E$38)</f>
        <v/>
      </c>
    </row>
    <row r="57">
      <c r="A57" s="30" t="inlineStr">
        <is>
          <t>E. WORKING CAPITAL, % OF REVENUE (forecast default = FY25 balance / FY25 revenue)</t>
        </is>
      </c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</row>
    <row r="58">
      <c r="A58" s="8" t="inlineStr">
        <is>
          <t>Trade receivables</t>
        </is>
      </c>
      <c r="B58" s="26" t="inlineStr">
        <is>
          <t>%</t>
        </is>
      </c>
      <c r="C58" s="13">
        <f>BS!C22/IS!C7</f>
        <v/>
      </c>
      <c r="D58" s="13">
        <f>BS!D22/IS!D7</f>
        <v/>
      </c>
      <c r="E58" s="13">
        <f>BS!E22/IS!E7</f>
        <v/>
      </c>
      <c r="F58" s="13">
        <f>BS!$E$22/IS!$E$7</f>
        <v/>
      </c>
      <c r="G58" s="13">
        <f>BS!$E$22/IS!$E$7</f>
        <v/>
      </c>
      <c r="H58" s="13">
        <f>BS!$E$22/IS!$E$7</f>
        <v/>
      </c>
      <c r="I58" s="13">
        <f>BS!$E$22/IS!$E$7</f>
        <v/>
      </c>
      <c r="J58" s="13">
        <f>BS!$E$22/IS!$E$7</f>
        <v/>
      </c>
    </row>
    <row r="59">
      <c r="A59" s="8" t="inlineStr">
        <is>
          <t>Other financial assets (current; incl. unbilled revenue)</t>
        </is>
      </c>
      <c r="B59" s="26" t="inlineStr">
        <is>
          <t>%</t>
        </is>
      </c>
      <c r="C59" s="13">
        <f>BS!C25/IS!C7</f>
        <v/>
      </c>
      <c r="D59" s="13">
        <f>BS!D25/IS!D7</f>
        <v/>
      </c>
      <c r="E59" s="13">
        <f>BS!E25/IS!E7</f>
        <v/>
      </c>
      <c r="F59" s="13">
        <f>BS!$E$25/IS!$E$7</f>
        <v/>
      </c>
      <c r="G59" s="13">
        <f>BS!$E$25/IS!$E$7</f>
        <v/>
      </c>
      <c r="H59" s="13">
        <f>BS!$E$25/IS!$E$7</f>
        <v/>
      </c>
      <c r="I59" s="13">
        <f>BS!$E$25/IS!$E$7</f>
        <v/>
      </c>
      <c r="J59" s="13">
        <f>BS!$E$25/IS!$E$7</f>
        <v/>
      </c>
    </row>
    <row r="60">
      <c r="A60" s="8" t="inlineStr">
        <is>
          <t>Other current assets</t>
        </is>
      </c>
      <c r="B60" s="26" t="inlineStr">
        <is>
          <t>%</t>
        </is>
      </c>
      <c r="C60" s="13">
        <f>BS!C27/IS!C7</f>
        <v/>
      </c>
      <c r="D60" s="13">
        <f>BS!D27/IS!D7</f>
        <v/>
      </c>
      <c r="E60" s="13">
        <f>BS!E27/IS!E7</f>
        <v/>
      </c>
      <c r="F60" s="13">
        <f>BS!$E$27/IS!$E$7</f>
        <v/>
      </c>
      <c r="G60" s="13">
        <f>BS!$E$27/IS!$E$7</f>
        <v/>
      </c>
      <c r="H60" s="13">
        <f>BS!$E$27/IS!$E$7</f>
        <v/>
      </c>
      <c r="I60" s="13">
        <f>BS!$E$27/IS!$E$7</f>
        <v/>
      </c>
      <c r="J60" s="13">
        <f>BS!$E$27/IS!$E$7</f>
        <v/>
      </c>
    </row>
    <row r="61">
      <c r="A61" s="8" t="inlineStr">
        <is>
          <t>Trade payables</t>
        </is>
      </c>
      <c r="B61" s="26" t="inlineStr">
        <is>
          <t>%</t>
        </is>
      </c>
      <c r="C61" s="13">
        <f>BS!C45/IS!C7</f>
        <v/>
      </c>
      <c r="D61" s="13">
        <f>BS!D45/IS!D7</f>
        <v/>
      </c>
      <c r="E61" s="13">
        <f>BS!E45/IS!E7</f>
        <v/>
      </c>
      <c r="F61" s="13">
        <f>BS!$E$45/IS!$E$7</f>
        <v/>
      </c>
      <c r="G61" s="13">
        <f>BS!$E$45/IS!$E$7</f>
        <v/>
      </c>
      <c r="H61" s="13">
        <f>BS!$E$45/IS!$E$7</f>
        <v/>
      </c>
      <c r="I61" s="13">
        <f>BS!$E$45/IS!$E$7</f>
        <v/>
      </c>
      <c r="J61" s="13">
        <f>BS!$E$45/IS!$E$7</f>
        <v/>
      </c>
    </row>
    <row r="62">
      <c r="A62" s="8" t="inlineStr">
        <is>
          <t>Other financial liabilities (current; incl. accrued compensation)</t>
        </is>
      </c>
      <c r="B62" s="26" t="inlineStr">
        <is>
          <t>%</t>
        </is>
      </c>
      <c r="C62" s="13">
        <f>BS!C46/IS!C7</f>
        <v/>
      </c>
      <c r="D62" s="13">
        <f>BS!D46/IS!D7</f>
        <v/>
      </c>
      <c r="E62" s="13">
        <f>BS!E46/IS!E7</f>
        <v/>
      </c>
      <c r="F62" s="13">
        <f>BS!$E$46/IS!$E$7</f>
        <v/>
      </c>
      <c r="G62" s="13">
        <f>BS!$E$46/IS!$E$7</f>
        <v/>
      </c>
      <c r="H62" s="13">
        <f>BS!$E$46/IS!$E$7</f>
        <v/>
      </c>
      <c r="I62" s="13">
        <f>BS!$E$46/IS!$E$7</f>
        <v/>
      </c>
      <c r="J62" s="13">
        <f>BS!$E$46/IS!$E$7</f>
        <v/>
      </c>
    </row>
    <row r="63">
      <c r="A63" s="8" t="inlineStr">
        <is>
          <t>Other current liabilities (incl. unearned revenue)</t>
        </is>
      </c>
      <c r="B63" s="26" t="inlineStr">
        <is>
          <t>%</t>
        </is>
      </c>
      <c r="C63" s="13">
        <f>BS!C47/IS!C7</f>
        <v/>
      </c>
      <c r="D63" s="13">
        <f>BS!D47/IS!D7</f>
        <v/>
      </c>
      <c r="E63" s="13">
        <f>BS!E47/IS!E7</f>
        <v/>
      </c>
      <c r="F63" s="13">
        <f>BS!$E$47/IS!$E$7</f>
        <v/>
      </c>
      <c r="G63" s="13">
        <f>BS!$E$47/IS!$E$7</f>
        <v/>
      </c>
      <c r="H63" s="13">
        <f>BS!$E$47/IS!$E$7</f>
        <v/>
      </c>
      <c r="I63" s="13">
        <f>BS!$E$47/IS!$E$7</f>
        <v/>
      </c>
      <c r="J63" s="13">
        <f>BS!$E$47/IS!$E$7</f>
        <v/>
      </c>
    </row>
    <row r="64">
      <c r="A64" s="8" t="inlineStr">
        <is>
          <t>Provisions</t>
        </is>
      </c>
      <c r="B64" s="26" t="inlineStr">
        <is>
          <t>%</t>
        </is>
      </c>
      <c r="C64" s="13">
        <f>BS!C48/IS!C7</f>
        <v/>
      </c>
      <c r="D64" s="13">
        <f>BS!D48/IS!D7</f>
        <v/>
      </c>
      <c r="E64" s="13">
        <f>BS!E48/IS!E7</f>
        <v/>
      </c>
      <c r="F64" s="13">
        <f>BS!$E$48/IS!$E$7</f>
        <v/>
      </c>
      <c r="G64" s="13">
        <f>BS!$E$48/IS!$E$7</f>
        <v/>
      </c>
      <c r="H64" s="13">
        <f>BS!$E$48/IS!$E$7</f>
        <v/>
      </c>
      <c r="I64" s="13">
        <f>BS!$E$48/IS!$E$7</f>
        <v/>
      </c>
      <c r="J64" s="13">
        <f>BS!$E$48/IS!$E$7</f>
        <v/>
      </c>
    </row>
    <row r="66">
      <c r="A66" s="30" t="inlineStr">
        <is>
          <t>F. VALUATION INPUTS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</row>
    <row r="67">
      <c r="A67" s="8" t="inlineStr">
        <is>
          <t>Terminal growth rate (Gordon growth, INR)</t>
        </is>
      </c>
      <c r="B67" s="26" t="inlineStr">
        <is>
          <t>%</t>
        </is>
      </c>
      <c r="C67" s="35" t="n">
        <v>0.055</v>
      </c>
      <c r="L67" s="28" t="inlineStr">
        <is>
          <t>~4% USD growth + ~1.5% INR depreciation. Below nominal GDP (9-10%) and in line with long-run IT-services demand growth; sensitised 4.5-6.5%.</t>
        </is>
      </c>
    </row>
    <row r="68">
      <c r="A68" s="8" t="inlineStr">
        <is>
          <t>Exit EV/EBITDA multiple (FY30E)</t>
        </is>
      </c>
      <c r="B68" s="26" t="inlineStr">
        <is>
          <t>x</t>
        </is>
      </c>
      <c r="C68" s="38" t="n">
        <v>14</v>
      </c>
      <c r="L68" s="28" t="inlineStr">
        <is>
          <t>Cross-check method. Infosys trades ~15x EV/EBITDA on FY25 (market cap Rs6.5 lakh crore less ~Rs0.5 lakh crore net cash / Rs0.39 lakh crore EBITDA).</t>
        </is>
      </c>
    </row>
    <row r="69">
      <c r="A69" s="8" t="inlineStr">
        <is>
          <t>Weight on Gordon-growth value in blended price</t>
        </is>
      </c>
      <c r="B69" s="26" t="inlineStr">
        <is>
          <t>%</t>
        </is>
      </c>
      <c r="C69" s="32" t="n">
        <v>0.5</v>
      </c>
    </row>
    <row r="70">
      <c r="A70" s="8" t="inlineStr">
        <is>
          <t>Mid-year discounting (1 = on, 0 = year-end)</t>
        </is>
      </c>
      <c r="B70" s="26" t="inlineStr">
        <is>
          <t>#</t>
        </is>
      </c>
      <c r="C70" s="39" t="n">
        <v>1</v>
      </c>
    </row>
    <row r="71">
      <c r="A71" s="8" t="inlineStr">
        <is>
          <t>Lease treatment (1 = leases as debt, 2 = pre-Ind AS 116 / leases as opex)</t>
        </is>
      </c>
      <c r="B71" s="26" t="inlineStr">
        <is>
          <t>#</t>
        </is>
      </c>
      <c r="C71" s="39" t="n">
        <v>1</v>
      </c>
      <c r="L71" s="28" t="inlineStr">
        <is>
          <t>1: lease liabilities in net debt and new ROU additions deducted from FCFF. 2: lease cash cost deducted from FCFF and lease liabilities excluded from net debt.</t>
        </is>
      </c>
    </row>
    <row r="72">
      <c r="A72" s="8" t="inlineStr">
        <is>
          <t>Include working-capital inflow in terminal FCFF (1 = yes, 0 = no)</t>
        </is>
      </c>
      <c r="B72" s="26" t="inlineStr">
        <is>
          <t>#</t>
        </is>
      </c>
      <c r="C72" s="39" t="n">
        <v>0</v>
      </c>
      <c r="L72" s="28" t="inlineStr">
        <is>
          <t>Default OFF to avoid capitalising a growth-funded working-capital release in perpetuity.</t>
        </is>
      </c>
    </row>
    <row r="73">
      <c r="A73" s="8" t="inlineStr">
        <is>
          <t>NCI valuation: multiple of book value</t>
        </is>
      </c>
      <c r="B73" s="26" t="inlineStr">
        <is>
          <t>x</t>
        </is>
      </c>
      <c r="C73" s="38" t="n">
        <v>1</v>
      </c>
      <c r="L73" s="28" t="inlineStr">
        <is>
          <t>Book NCI is only Rs385 crore (0.06% of market cap); immaterial.</t>
        </is>
      </c>
    </row>
    <row r="74">
      <c r="A74" s="8" t="inlineStr">
        <is>
          <t>Other debt-like items (Rs crore)</t>
        </is>
      </c>
      <c r="B74" s="26" t="inlineStr">
        <is>
          <t>Rs cr</t>
        </is>
      </c>
      <c r="C74" s="40" t="n">
        <v>0</v>
      </c>
      <c r="L74" s="28" t="inlineStr">
        <is>
          <t>None: no borrowings. Contingent tax / legal exposures are disclosed in the notes but not provided for in the valuation.</t>
        </is>
      </c>
    </row>
    <row r="75">
      <c r="A75" s="8" t="inlineStr">
        <is>
          <t>Company-reported market capitalisation, 31-Mar-2025 (Rs crore)</t>
        </is>
      </c>
      <c r="B75" s="26" t="inlineStr">
        <is>
          <t>Rs cr</t>
        </is>
      </c>
      <c r="C75" s="40" t="n">
        <v>652332</v>
      </c>
      <c r="L75" s="28" t="inlineStr">
        <is>
          <t>Annual Report FY25, financial highlights (US$75,797 mn); price-to-earnings 24.4x.</t>
        </is>
      </c>
    </row>
    <row r="76">
      <c r="A76" s="8" t="inlineStr">
        <is>
          <t>Implied market price at valuation date (Rs/share)</t>
        </is>
      </c>
      <c r="B76" s="26" t="inlineStr">
        <is>
          <t>Rs</t>
        </is>
      </c>
      <c r="C76" s="41">
        <f>C75/F48</f>
        <v/>
      </c>
      <c r="L76" s="28" t="inlineStr">
        <is>
          <t>Market capitalisation / 414.6 crore shares. Cross-check: 24.4x P/E x FY25 EPS Rs64.50 = Rs1,574.</t>
        </is>
      </c>
    </row>
  </sheetData>
  <dataValidations count="4">
    <dataValidation sqref="C6" showDropDown="0" showInputMessage="0" showErrorMessage="0" allowBlank="0" type="list">
      <formula1>"1,2,3"</formula1>
    </dataValidation>
    <dataValidation sqref="C70" showDropDown="0" showInputMessage="0" showErrorMessage="0" allowBlank="0" type="list">
      <formula1>"0,1"</formula1>
    </dataValidation>
    <dataValidation sqref="C71" showDropDown="0" showInputMessage="0" showErrorMessage="0" allowBlank="0" type="list">
      <formula1>"1,2"</formula1>
    </dataValidation>
    <dataValidation sqref="C72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Segment Build (Revenue &amp; EBITDA)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A. REPORTED DATA - Rs crore (Note 2.26 Segment reporting; FY23 from the FY24 Annual Report)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42" t="inlineStr">
        <is>
          <t>Revenue by industry vertical (external customers)</t>
        </is>
      </c>
    </row>
    <row r="8">
      <c r="A8" s="8" t="inlineStr">
        <is>
          <t>Financial Services (incl. Insurance)</t>
        </is>
      </c>
      <c r="B8" s="26" t="inlineStr">
        <is>
          <t>Rs cr</t>
        </is>
      </c>
      <c r="C8" s="40" t="n">
        <v>43763</v>
      </c>
      <c r="D8" s="40" t="n">
        <v>42158</v>
      </c>
      <c r="E8" s="40" t="n">
        <v>45175</v>
      </c>
    </row>
    <row r="9">
      <c r="A9" s="8" t="inlineStr">
        <is>
          <t>Retail (incl. CPG, Logistics)</t>
        </is>
      </c>
      <c r="B9" s="26" t="inlineStr">
        <is>
          <t>Rs cr</t>
        </is>
      </c>
      <c r="C9" s="40" t="n">
        <v>21204</v>
      </c>
      <c r="D9" s="40" t="n">
        <v>22504</v>
      </c>
      <c r="E9" s="40" t="n">
        <v>22059</v>
      </c>
    </row>
    <row r="10">
      <c r="A10" s="8" t="inlineStr">
        <is>
          <t>Communication (incl. Telecom OEM, Media)</t>
        </is>
      </c>
      <c r="B10" s="26" t="inlineStr">
        <is>
          <t>Rs cr</t>
        </is>
      </c>
      <c r="C10" s="40" t="n">
        <v>18086</v>
      </c>
      <c r="D10" s="40" t="n">
        <v>17991</v>
      </c>
      <c r="E10" s="40" t="n">
        <v>19108</v>
      </c>
    </row>
    <row r="11">
      <c r="A11" s="8" t="inlineStr">
        <is>
          <t>Energy, Utilities, Resources &amp; Services</t>
        </is>
      </c>
      <c r="B11" s="26" t="inlineStr">
        <is>
          <t>Rs cr</t>
        </is>
      </c>
      <c r="C11" s="40" t="n">
        <v>18539</v>
      </c>
      <c r="D11" s="40" t="n">
        <v>20035</v>
      </c>
      <c r="E11" s="40" t="n">
        <v>21710</v>
      </c>
    </row>
    <row r="12">
      <c r="A12" s="8" t="inlineStr">
        <is>
          <t>Manufacturing</t>
        </is>
      </c>
      <c r="B12" s="26" t="inlineStr">
        <is>
          <t>Rs cr</t>
        </is>
      </c>
      <c r="C12" s="40" t="n">
        <v>19035</v>
      </c>
      <c r="D12" s="40" t="n">
        <v>22298</v>
      </c>
      <c r="E12" s="40" t="n">
        <v>25207</v>
      </c>
    </row>
    <row r="13">
      <c r="A13" s="8" t="inlineStr">
        <is>
          <t>Hi-Tech</t>
        </is>
      </c>
      <c r="B13" s="26" t="inlineStr">
        <is>
          <t>Rs cr</t>
        </is>
      </c>
      <c r="C13" s="40" t="n">
        <v>11867</v>
      </c>
      <c r="D13" s="40" t="n">
        <v>12411</v>
      </c>
      <c r="E13" s="40" t="n">
        <v>13090</v>
      </c>
    </row>
    <row r="14">
      <c r="A14" s="8" t="inlineStr">
        <is>
          <t>Life Sciences (incl. Healthcare)</t>
        </is>
      </c>
      <c r="B14" s="26" t="inlineStr">
        <is>
          <t>Rs cr</t>
        </is>
      </c>
      <c r="C14" s="40" t="n">
        <v>10085</v>
      </c>
      <c r="D14" s="40" t="n">
        <v>11515</v>
      </c>
      <c r="E14" s="40" t="n">
        <v>11831</v>
      </c>
    </row>
    <row r="15">
      <c r="A15" s="8" t="inlineStr">
        <is>
          <t>All other segments (India, Japan, China, Public Services)</t>
        </is>
      </c>
      <c r="B15" s="26" t="inlineStr">
        <is>
          <t>Rs cr</t>
        </is>
      </c>
      <c r="C15" s="40" t="n">
        <v>4188</v>
      </c>
      <c r="D15" s="40" t="n">
        <v>4758</v>
      </c>
      <c r="E15" s="40" t="n">
        <v>4810</v>
      </c>
    </row>
    <row r="16">
      <c r="A16" s="6" t="inlineStr">
        <is>
          <t>Revenue from operations</t>
        </is>
      </c>
      <c r="B16" s="26" t="inlineStr">
        <is>
          <t>Rs cr</t>
        </is>
      </c>
      <c r="C16" s="43">
        <f>SUM(C8:C15)</f>
        <v/>
      </c>
      <c r="D16" s="43">
        <f>SUM(D8:D15)</f>
        <v/>
      </c>
      <c r="E16" s="43">
        <f>SUM(E8:E15)</f>
        <v/>
      </c>
    </row>
    <row r="17">
      <c r="A17" s="42" t="inlineStr">
        <is>
          <t>Segment operating income (before unallocable D&amp;A)</t>
        </is>
      </c>
    </row>
    <row r="18">
      <c r="A18" s="8" t="inlineStr">
        <is>
          <t>Financial Services (incl. Insurance)</t>
        </is>
      </c>
      <c r="B18" s="26" t="inlineStr">
        <is>
          <t>Rs cr</t>
        </is>
      </c>
      <c r="C18" s="40" t="n">
        <v>10843</v>
      </c>
      <c r="D18" s="40" t="n">
        <v>9324</v>
      </c>
      <c r="E18" s="40" t="n">
        <v>11099</v>
      </c>
    </row>
    <row r="19">
      <c r="A19" s="8" t="inlineStr">
        <is>
          <t>Retail (incl. CPG, Logistics)</t>
        </is>
      </c>
      <c r="B19" s="26" t="inlineStr">
        <is>
          <t>Rs cr</t>
        </is>
      </c>
      <c r="C19" s="40" t="n">
        <v>6396</v>
      </c>
      <c r="D19" s="40" t="n">
        <v>6882</v>
      </c>
      <c r="E19" s="40" t="n">
        <v>7133</v>
      </c>
    </row>
    <row r="20">
      <c r="A20" s="8" t="inlineStr">
        <is>
          <t>Communication (incl. Telecom OEM, Media)</t>
        </is>
      </c>
      <c r="B20" s="26" t="inlineStr">
        <is>
          <t>Rs cr</t>
        </is>
      </c>
      <c r="C20" s="40" t="n">
        <v>3759</v>
      </c>
      <c r="D20" s="40" t="n">
        <v>3688</v>
      </c>
      <c r="E20" s="40" t="n">
        <v>3341</v>
      </c>
    </row>
    <row r="21">
      <c r="A21" s="8" t="inlineStr">
        <is>
          <t>Energy, Utilities, Resources &amp; Services</t>
        </is>
      </c>
      <c r="B21" s="26" t="inlineStr">
        <is>
          <t>Rs cr</t>
        </is>
      </c>
      <c r="C21" s="40" t="n">
        <v>5155</v>
      </c>
      <c r="D21" s="40" t="n">
        <v>5523</v>
      </c>
      <c r="E21" s="40" t="n">
        <v>6097</v>
      </c>
    </row>
    <row r="22">
      <c r="A22" s="8" t="inlineStr">
        <is>
          <t>Manufacturing</t>
        </is>
      </c>
      <c r="B22" s="26" t="inlineStr">
        <is>
          <t>Rs cr</t>
        </is>
      </c>
      <c r="C22" s="40" t="n">
        <v>3113</v>
      </c>
      <c r="D22" s="40" t="n">
        <v>4197</v>
      </c>
      <c r="E22" s="40" t="n">
        <v>4856</v>
      </c>
    </row>
    <row r="23">
      <c r="A23" s="8" t="inlineStr">
        <is>
          <t>Hi-Tech</t>
        </is>
      </c>
      <c r="B23" s="26" t="inlineStr">
        <is>
          <t>Rs cr</t>
        </is>
      </c>
      <c r="C23" s="40" t="n">
        <v>2959</v>
      </c>
      <c r="D23" s="40" t="n">
        <v>3153</v>
      </c>
      <c r="E23" s="40" t="n">
        <v>3220</v>
      </c>
    </row>
    <row r="24">
      <c r="A24" s="8" t="inlineStr">
        <is>
          <t>Life Sciences (incl. Healthcare)</t>
        </is>
      </c>
      <c r="B24" s="26" t="inlineStr">
        <is>
          <t>Rs cr</t>
        </is>
      </c>
      <c r="C24" s="40" t="n">
        <v>2566</v>
      </c>
      <c r="D24" s="40" t="n">
        <v>2898</v>
      </c>
      <c r="E24" s="40" t="n">
        <v>2663</v>
      </c>
    </row>
    <row r="25">
      <c r="A25" s="8" t="inlineStr">
        <is>
          <t>All other segments (India, Japan, China, Public Services)</t>
        </is>
      </c>
      <c r="B25" s="26" t="inlineStr">
        <is>
          <t>Rs cr</t>
        </is>
      </c>
      <c r="C25" s="40" t="n">
        <v>339</v>
      </c>
      <c r="D25" s="40" t="n">
        <v>760</v>
      </c>
      <c r="E25" s="40" t="n">
        <v>827</v>
      </c>
    </row>
    <row r="26">
      <c r="A26" s="6" t="inlineStr">
        <is>
          <t>Total segment operating income  (= EBITDA)</t>
        </is>
      </c>
      <c r="B26" s="26" t="inlineStr">
        <is>
          <t>Rs cr</t>
        </is>
      </c>
      <c r="C26" s="43">
        <f>SUM(C18:C25)</f>
        <v/>
      </c>
      <c r="D26" s="43">
        <f>SUM(D18:D25)</f>
        <v/>
      </c>
      <c r="E26" s="43">
        <f>SUM(E18:E25)</f>
        <v/>
      </c>
    </row>
    <row r="27">
      <c r="A27" s="8" t="inlineStr">
        <is>
          <t>Less: unallocable expenses (= depreciation &amp; amortisation)</t>
        </is>
      </c>
      <c r="B27" s="26" t="inlineStr">
        <is>
          <t>Rs cr</t>
        </is>
      </c>
      <c r="C27" s="40" t="n">
        <v>4225</v>
      </c>
      <c r="D27" s="40" t="n">
        <v>4678</v>
      </c>
      <c r="E27" s="40" t="n">
        <v>4812</v>
      </c>
    </row>
    <row r="28">
      <c r="A28" s="6" t="inlineStr">
        <is>
          <t>Operating profit (company definition, before other income)</t>
        </is>
      </c>
      <c r="B28" s="26" t="inlineStr">
        <is>
          <t>Rs cr</t>
        </is>
      </c>
      <c r="C28" s="43">
        <f>C26-C27</f>
        <v/>
      </c>
      <c r="D28" s="43">
        <f>D26-D27</f>
        <v/>
      </c>
      <c r="E28" s="43">
        <f>E26-E27</f>
        <v/>
      </c>
    </row>
    <row r="29">
      <c r="A29" s="42" t="inlineStr">
        <is>
          <t>Segment operating margin</t>
        </is>
      </c>
    </row>
    <row r="30">
      <c r="A30" s="8" t="inlineStr">
        <is>
          <t>Financial Services (incl. Insurance)</t>
        </is>
      </c>
      <c r="B30" s="26" t="inlineStr">
        <is>
          <t>%</t>
        </is>
      </c>
      <c r="C30" s="44">
        <f>C18/C8</f>
        <v/>
      </c>
      <c r="D30" s="44">
        <f>D18/D8</f>
        <v/>
      </c>
      <c r="E30" s="44">
        <f>E18/E8</f>
        <v/>
      </c>
    </row>
    <row r="31">
      <c r="A31" s="8" t="inlineStr">
        <is>
          <t>Retail (incl. CPG, Logistics)</t>
        </is>
      </c>
      <c r="B31" s="26" t="inlineStr">
        <is>
          <t>%</t>
        </is>
      </c>
      <c r="C31" s="44">
        <f>C19/C9</f>
        <v/>
      </c>
      <c r="D31" s="44">
        <f>D19/D9</f>
        <v/>
      </c>
      <c r="E31" s="44">
        <f>E19/E9</f>
        <v/>
      </c>
    </row>
    <row r="32">
      <c r="A32" s="8" t="inlineStr">
        <is>
          <t>Communication (incl. Telecom OEM, Media)</t>
        </is>
      </c>
      <c r="B32" s="26" t="inlineStr">
        <is>
          <t>%</t>
        </is>
      </c>
      <c r="C32" s="44">
        <f>C20/C10</f>
        <v/>
      </c>
      <c r="D32" s="44">
        <f>D20/D10</f>
        <v/>
      </c>
      <c r="E32" s="44">
        <f>E20/E10</f>
        <v/>
      </c>
    </row>
    <row r="33">
      <c r="A33" s="8" t="inlineStr">
        <is>
          <t>Energy, Utilities, Resources &amp; Services</t>
        </is>
      </c>
      <c r="B33" s="26" t="inlineStr">
        <is>
          <t>%</t>
        </is>
      </c>
      <c r="C33" s="44">
        <f>C21/C11</f>
        <v/>
      </c>
      <c r="D33" s="44">
        <f>D21/D11</f>
        <v/>
      </c>
      <c r="E33" s="44">
        <f>E21/E11</f>
        <v/>
      </c>
    </row>
    <row r="34">
      <c r="A34" s="8" t="inlineStr">
        <is>
          <t>Manufacturing</t>
        </is>
      </c>
      <c r="B34" s="26" t="inlineStr">
        <is>
          <t>%</t>
        </is>
      </c>
      <c r="C34" s="44">
        <f>C22/C12</f>
        <v/>
      </c>
      <c r="D34" s="44">
        <f>D22/D12</f>
        <v/>
      </c>
      <c r="E34" s="44">
        <f>E22/E12</f>
        <v/>
      </c>
    </row>
    <row r="35">
      <c r="A35" s="8" t="inlineStr">
        <is>
          <t>Hi-Tech</t>
        </is>
      </c>
      <c r="B35" s="26" t="inlineStr">
        <is>
          <t>%</t>
        </is>
      </c>
      <c r="C35" s="44">
        <f>C23/C13</f>
        <v/>
      </c>
      <c r="D35" s="44">
        <f>D23/D13</f>
        <v/>
      </c>
      <c r="E35" s="44">
        <f>E23/E13</f>
        <v/>
      </c>
    </row>
    <row r="36">
      <c r="A36" s="8" t="inlineStr">
        <is>
          <t>Life Sciences (incl. Healthcare)</t>
        </is>
      </c>
      <c r="B36" s="26" t="inlineStr">
        <is>
          <t>%</t>
        </is>
      </c>
      <c r="C36" s="44">
        <f>C24/C14</f>
        <v/>
      </c>
      <c r="D36" s="44">
        <f>D24/D14</f>
        <v/>
      </c>
      <c r="E36" s="44">
        <f>E24/E14</f>
        <v/>
      </c>
    </row>
    <row r="37">
      <c r="A37" s="8" t="inlineStr">
        <is>
          <t>All other segments (India, Japan, China, Public Services)</t>
        </is>
      </c>
      <c r="B37" s="26" t="inlineStr">
        <is>
          <t>%</t>
        </is>
      </c>
      <c r="C37" s="44">
        <f>C25/C15</f>
        <v/>
      </c>
      <c r="D37" s="44">
        <f>D25/D15</f>
        <v/>
      </c>
      <c r="E37" s="44">
        <f>E25/E15</f>
        <v/>
      </c>
    </row>
    <row r="38">
      <c r="A38" s="6" t="inlineStr">
        <is>
          <t>Total segment margin (EBITDA margin)</t>
        </is>
      </c>
      <c r="B38" s="26" t="inlineStr">
        <is>
          <t>%</t>
        </is>
      </c>
      <c r="C38" s="33">
        <f>C26/C16</f>
        <v/>
      </c>
      <c r="D38" s="33">
        <f>D26/D16</f>
        <v/>
      </c>
      <c r="E38" s="33">
        <f>E26/E16</f>
        <v/>
      </c>
    </row>
    <row r="39">
      <c r="A39" s="42" t="inlineStr">
        <is>
          <t>Revenue by geography</t>
        </is>
      </c>
    </row>
    <row r="40">
      <c r="A40" s="8" t="inlineStr">
        <is>
          <t>North America</t>
        </is>
      </c>
      <c r="B40" s="26" t="inlineStr">
        <is>
          <t>Rs cr</t>
        </is>
      </c>
      <c r="C40" s="40" t="n">
        <v>90724</v>
      </c>
      <c r="D40" s="40" t="n">
        <v>92411</v>
      </c>
      <c r="E40" s="40" t="n">
        <v>94397</v>
      </c>
    </row>
    <row r="41">
      <c r="A41" s="8" t="inlineStr">
        <is>
          <t>Europe</t>
        </is>
      </c>
      <c r="B41" s="26" t="inlineStr">
        <is>
          <t>Rs cr</t>
        </is>
      </c>
      <c r="C41" s="40" t="n">
        <v>37675</v>
      </c>
      <c r="D41" s="40" t="n">
        <v>42267</v>
      </c>
      <c r="E41" s="40" t="n">
        <v>48595</v>
      </c>
    </row>
    <row r="42">
      <c r="A42" s="8" t="inlineStr">
        <is>
          <t>India</t>
        </is>
      </c>
      <c r="B42" s="26" t="inlineStr">
        <is>
          <t>Rs cr</t>
        </is>
      </c>
      <c r="C42" s="40" t="n">
        <v>3861</v>
      </c>
      <c r="D42" s="40" t="n">
        <v>3881</v>
      </c>
      <c r="E42" s="40" t="n">
        <v>5014</v>
      </c>
    </row>
    <row r="43">
      <c r="A43" s="8" t="inlineStr">
        <is>
          <t>Rest of the World</t>
        </is>
      </c>
      <c r="B43" s="26" t="inlineStr">
        <is>
          <t>Rs cr</t>
        </is>
      </c>
      <c r="C43" s="40" t="n">
        <v>14507</v>
      </c>
      <c r="D43" s="40" t="n">
        <v>15111</v>
      </c>
      <c r="E43" s="40" t="n">
        <v>14984</v>
      </c>
    </row>
    <row r="44">
      <c r="A44" s="6" t="inlineStr">
        <is>
          <t>Total</t>
        </is>
      </c>
      <c r="B44" s="26" t="inlineStr">
        <is>
          <t>Rs cr</t>
        </is>
      </c>
      <c r="C44" s="43">
        <f>SUM(C40:C43)</f>
        <v/>
      </c>
      <c r="D44" s="43">
        <f>SUM(D40:D43)</f>
        <v/>
      </c>
      <c r="E44" s="43">
        <f>SUM(E40:E43)</f>
        <v/>
      </c>
    </row>
    <row r="45">
      <c r="A45" s="8" t="inlineStr">
        <is>
          <t>North America % of revenue</t>
        </is>
      </c>
      <c r="B45" s="26" t="inlineStr">
        <is>
          <t>%</t>
        </is>
      </c>
      <c r="C45" s="44">
        <f>C40/C44</f>
        <v/>
      </c>
      <c r="D45" s="44">
        <f>D40/D44</f>
        <v/>
      </c>
      <c r="E45" s="44">
        <f>E40/E44</f>
        <v/>
      </c>
    </row>
    <row r="46">
      <c r="A46" s="42" t="inlineStr">
        <is>
          <t>Currency and workforce KPIs</t>
        </is>
      </c>
    </row>
    <row r="47">
      <c r="A47" s="8" t="inlineStr">
        <is>
          <t>Revenue in US$ million (company-reported)</t>
        </is>
      </c>
      <c r="B47" s="26" t="inlineStr">
        <is>
          <t>US$ mn</t>
        </is>
      </c>
      <c r="C47" s="40" t="n">
        <v>18212</v>
      </c>
      <c r="D47" s="40" t="n">
        <v>18562</v>
      </c>
      <c r="E47" s="40" t="n">
        <v>19277</v>
      </c>
      <c r="L47" s="28" t="inlineStr">
        <is>
          <t>Annual Report five-year summary.</t>
        </is>
      </c>
    </row>
    <row r="48">
      <c r="A48" s="8" t="inlineStr">
        <is>
          <t>Implied average INR/USD rate (revenue Rs crore x 10 / US$ mn)</t>
        </is>
      </c>
      <c r="B48" s="26" t="inlineStr">
        <is>
          <t>Rs</t>
        </is>
      </c>
      <c r="C48" s="41">
        <f>C16*10/C47</f>
        <v/>
      </c>
      <c r="D48" s="41">
        <f>D16*10/D47</f>
        <v/>
      </c>
      <c r="E48" s="41">
        <f>E16*10/E47</f>
        <v/>
      </c>
    </row>
    <row r="49">
      <c r="A49" s="8" t="inlineStr">
        <is>
          <t>Headcount - end of year (employees)</t>
        </is>
      </c>
      <c r="B49" s="26" t="inlineStr">
        <is>
          <t>#</t>
        </is>
      </c>
      <c r="D49" s="40" t="n">
        <v>317240</v>
      </c>
      <c r="E49" s="40" t="n">
        <v>323578</v>
      </c>
      <c r="L49" s="28" t="inlineStr">
        <is>
          <t>Annual Reports FY24 / FY25 (permanent employees).</t>
        </is>
      </c>
    </row>
    <row r="50">
      <c r="A50" s="8" t="inlineStr">
        <is>
          <t>Average headcount</t>
        </is>
      </c>
      <c r="B50" s="26" t="inlineStr">
        <is>
          <t>#</t>
        </is>
      </c>
      <c r="E50" s="45">
        <f>AVERAGE(D49,E49)</f>
        <v/>
      </c>
    </row>
    <row r="51">
      <c r="A51" s="8" t="inlineStr">
        <is>
          <t>Employee cost per average head (Rs lakh)</t>
        </is>
      </c>
      <c r="B51" s="26" t="inlineStr">
        <is>
          <t>Rs lakh</t>
        </is>
      </c>
      <c r="E51" s="9">
        <f>IS!E10/E50*100</f>
        <v/>
      </c>
    </row>
    <row r="52">
      <c r="A52" s="8" t="inlineStr">
        <is>
          <t>Revenue per average head (Rs lakh)</t>
        </is>
      </c>
      <c r="B52" s="26" t="inlineStr">
        <is>
          <t>Rs lakh</t>
        </is>
      </c>
      <c r="E52" s="9">
        <f>IS!E7/E50*100</f>
        <v/>
      </c>
    </row>
    <row r="54">
      <c r="A54" s="30" t="inlineStr">
        <is>
          <t>B. REVENUE BUILD: USD revenue by vertical x INR/USD</t>
        </is>
      </c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</row>
    <row r="55">
      <c r="A55" s="46" t="inlineStr">
        <is>
          <t>Hist columns: USD revenue derived = INR revenue / average rate. Forecast: USD revenue = prior year x (1 + vertical growth + scenario adjustment); INR = USD x rate.</t>
        </is>
      </c>
    </row>
    <row r="56">
      <c r="A56" s="6" t="inlineStr">
        <is>
          <t>Average INR/USD rate</t>
        </is>
      </c>
      <c r="B56" s="26" t="inlineStr">
        <is>
          <t>Rs</t>
        </is>
      </c>
      <c r="C56" s="47">
        <f>C48</f>
        <v/>
      </c>
      <c r="D56" s="47">
        <f>D48</f>
        <v/>
      </c>
      <c r="E56" s="47">
        <f>E48</f>
        <v/>
      </c>
      <c r="F56" s="7">
        <f>E56*(1+Inputs!F29)</f>
        <v/>
      </c>
      <c r="G56" s="7">
        <f>F56*(1+Inputs!G29)</f>
        <v/>
      </c>
      <c r="H56" s="7">
        <f>G56*(1+Inputs!H29)</f>
        <v/>
      </c>
      <c r="I56" s="7">
        <f>H56*(1+Inputs!I29)</f>
        <v/>
      </c>
      <c r="J56" s="7">
        <f>I56*(1+Inputs!J29)</f>
        <v/>
      </c>
    </row>
    <row r="57">
      <c r="A57" s="42" t="inlineStr">
        <is>
          <t>Revenue by vertical in US$ million</t>
        </is>
      </c>
    </row>
    <row r="58">
      <c r="A58" s="8" t="inlineStr">
        <is>
          <t>Financial Services (incl. Insurance)</t>
        </is>
      </c>
      <c r="B58" s="26" t="inlineStr">
        <is>
          <t>US$ mn</t>
        </is>
      </c>
      <c r="C58" s="45">
        <f>C8*10/C56</f>
        <v/>
      </c>
      <c r="D58" s="45">
        <f>D8*10/D56</f>
        <v/>
      </c>
      <c r="E58" s="45">
        <f>E8*10/E56</f>
        <v/>
      </c>
      <c r="F58" s="11">
        <f>E58*(1+Inputs!F21+Inputs!F13)</f>
        <v/>
      </c>
      <c r="G58" s="11">
        <f>F58*(1+Inputs!G21+Inputs!G13)</f>
        <v/>
      </c>
      <c r="H58" s="11">
        <f>G58*(1+Inputs!H21+Inputs!H13)</f>
        <v/>
      </c>
      <c r="I58" s="11">
        <f>H58*(1+Inputs!I21+Inputs!I13)</f>
        <v/>
      </c>
      <c r="J58" s="11">
        <f>I58*(1+Inputs!J21+Inputs!J13)</f>
        <v/>
      </c>
    </row>
    <row r="59">
      <c r="A59" s="8" t="inlineStr">
        <is>
          <t>Retail (incl. CPG, Logistics)</t>
        </is>
      </c>
      <c r="B59" s="26" t="inlineStr">
        <is>
          <t>US$ mn</t>
        </is>
      </c>
      <c r="C59" s="45">
        <f>C9*10/C56</f>
        <v/>
      </c>
      <c r="D59" s="45">
        <f>D9*10/D56</f>
        <v/>
      </c>
      <c r="E59" s="45">
        <f>E9*10/E56</f>
        <v/>
      </c>
      <c r="F59" s="11">
        <f>E59*(1+Inputs!F22+Inputs!F13)</f>
        <v/>
      </c>
      <c r="G59" s="11">
        <f>F59*(1+Inputs!G22+Inputs!G13)</f>
        <v/>
      </c>
      <c r="H59" s="11">
        <f>G59*(1+Inputs!H22+Inputs!H13)</f>
        <v/>
      </c>
      <c r="I59" s="11">
        <f>H59*(1+Inputs!I22+Inputs!I13)</f>
        <v/>
      </c>
      <c r="J59" s="11">
        <f>I59*(1+Inputs!J22+Inputs!J13)</f>
        <v/>
      </c>
    </row>
    <row r="60">
      <c r="A60" s="8" t="inlineStr">
        <is>
          <t>Communication (incl. Telecom OEM, Media)</t>
        </is>
      </c>
      <c r="B60" s="26" t="inlineStr">
        <is>
          <t>US$ mn</t>
        </is>
      </c>
      <c r="C60" s="45">
        <f>C10*10/C56</f>
        <v/>
      </c>
      <c r="D60" s="45">
        <f>D10*10/D56</f>
        <v/>
      </c>
      <c r="E60" s="45">
        <f>E10*10/E56</f>
        <v/>
      </c>
      <c r="F60" s="11">
        <f>E60*(1+Inputs!F23+Inputs!F13)</f>
        <v/>
      </c>
      <c r="G60" s="11">
        <f>F60*(1+Inputs!G23+Inputs!G13)</f>
        <v/>
      </c>
      <c r="H60" s="11">
        <f>G60*(1+Inputs!H23+Inputs!H13)</f>
        <v/>
      </c>
      <c r="I60" s="11">
        <f>H60*(1+Inputs!I23+Inputs!I13)</f>
        <v/>
      </c>
      <c r="J60" s="11">
        <f>I60*(1+Inputs!J23+Inputs!J13)</f>
        <v/>
      </c>
    </row>
    <row r="61">
      <c r="A61" s="8" t="inlineStr">
        <is>
          <t>Energy, Utilities, Resources &amp; Services</t>
        </is>
      </c>
      <c r="B61" s="26" t="inlineStr">
        <is>
          <t>US$ mn</t>
        </is>
      </c>
      <c r="C61" s="45">
        <f>C11*10/C56</f>
        <v/>
      </c>
      <c r="D61" s="45">
        <f>D11*10/D56</f>
        <v/>
      </c>
      <c r="E61" s="45">
        <f>E11*10/E56</f>
        <v/>
      </c>
      <c r="F61" s="11">
        <f>E61*(1+Inputs!F24+Inputs!F13)</f>
        <v/>
      </c>
      <c r="G61" s="11">
        <f>F61*(1+Inputs!G24+Inputs!G13)</f>
        <v/>
      </c>
      <c r="H61" s="11">
        <f>G61*(1+Inputs!H24+Inputs!H13)</f>
        <v/>
      </c>
      <c r="I61" s="11">
        <f>H61*(1+Inputs!I24+Inputs!I13)</f>
        <v/>
      </c>
      <c r="J61" s="11">
        <f>I61*(1+Inputs!J24+Inputs!J13)</f>
        <v/>
      </c>
    </row>
    <row r="62">
      <c r="A62" s="8" t="inlineStr">
        <is>
          <t>Manufacturing</t>
        </is>
      </c>
      <c r="B62" s="26" t="inlineStr">
        <is>
          <t>US$ mn</t>
        </is>
      </c>
      <c r="C62" s="45">
        <f>C12*10/C56</f>
        <v/>
      </c>
      <c r="D62" s="45">
        <f>D12*10/D56</f>
        <v/>
      </c>
      <c r="E62" s="45">
        <f>E12*10/E56</f>
        <v/>
      </c>
      <c r="F62" s="11">
        <f>E62*(1+Inputs!F25+Inputs!F13)</f>
        <v/>
      </c>
      <c r="G62" s="11">
        <f>F62*(1+Inputs!G25+Inputs!G13)</f>
        <v/>
      </c>
      <c r="H62" s="11">
        <f>G62*(1+Inputs!H25+Inputs!H13)</f>
        <v/>
      </c>
      <c r="I62" s="11">
        <f>H62*(1+Inputs!I25+Inputs!I13)</f>
        <v/>
      </c>
      <c r="J62" s="11">
        <f>I62*(1+Inputs!J25+Inputs!J13)</f>
        <v/>
      </c>
    </row>
    <row r="63">
      <c r="A63" s="8" t="inlineStr">
        <is>
          <t>Hi-Tech</t>
        </is>
      </c>
      <c r="B63" s="26" t="inlineStr">
        <is>
          <t>US$ mn</t>
        </is>
      </c>
      <c r="C63" s="45">
        <f>C13*10/C56</f>
        <v/>
      </c>
      <c r="D63" s="45">
        <f>D13*10/D56</f>
        <v/>
      </c>
      <c r="E63" s="45">
        <f>E13*10/E56</f>
        <v/>
      </c>
      <c r="F63" s="11">
        <f>E63*(1+Inputs!F26+Inputs!F13)</f>
        <v/>
      </c>
      <c r="G63" s="11">
        <f>F63*(1+Inputs!G26+Inputs!G13)</f>
        <v/>
      </c>
      <c r="H63" s="11">
        <f>G63*(1+Inputs!H26+Inputs!H13)</f>
        <v/>
      </c>
      <c r="I63" s="11">
        <f>H63*(1+Inputs!I26+Inputs!I13)</f>
        <v/>
      </c>
      <c r="J63" s="11">
        <f>I63*(1+Inputs!J26+Inputs!J13)</f>
        <v/>
      </c>
    </row>
    <row r="64">
      <c r="A64" s="8" t="inlineStr">
        <is>
          <t>Life Sciences (incl. Healthcare)</t>
        </is>
      </c>
      <c r="B64" s="26" t="inlineStr">
        <is>
          <t>US$ mn</t>
        </is>
      </c>
      <c r="C64" s="45">
        <f>C14*10/C56</f>
        <v/>
      </c>
      <c r="D64" s="45">
        <f>D14*10/D56</f>
        <v/>
      </c>
      <c r="E64" s="45">
        <f>E14*10/E56</f>
        <v/>
      </c>
      <c r="F64" s="11">
        <f>E64*(1+Inputs!F27+Inputs!F13)</f>
        <v/>
      </c>
      <c r="G64" s="11">
        <f>F64*(1+Inputs!G27+Inputs!G13)</f>
        <v/>
      </c>
      <c r="H64" s="11">
        <f>G64*(1+Inputs!H27+Inputs!H13)</f>
        <v/>
      </c>
      <c r="I64" s="11">
        <f>H64*(1+Inputs!I27+Inputs!I13)</f>
        <v/>
      </c>
      <c r="J64" s="11">
        <f>I64*(1+Inputs!J27+Inputs!J13)</f>
        <v/>
      </c>
    </row>
    <row r="65">
      <c r="A65" s="8" t="inlineStr">
        <is>
          <t>All other segments (India, Japan, China, Public Services)</t>
        </is>
      </c>
      <c r="B65" s="26" t="inlineStr">
        <is>
          <t>US$ mn</t>
        </is>
      </c>
      <c r="C65" s="45">
        <f>C15*10/C56</f>
        <v/>
      </c>
      <c r="D65" s="45">
        <f>D15*10/D56</f>
        <v/>
      </c>
      <c r="E65" s="45">
        <f>E15*10/E56</f>
        <v/>
      </c>
      <c r="F65" s="11">
        <f>E65*(1+Inputs!F28+Inputs!F13)</f>
        <v/>
      </c>
      <c r="G65" s="11">
        <f>F65*(1+Inputs!G28+Inputs!G13)</f>
        <v/>
      </c>
      <c r="H65" s="11">
        <f>G65*(1+Inputs!H28+Inputs!H13)</f>
        <v/>
      </c>
      <c r="I65" s="11">
        <f>H65*(1+Inputs!I28+Inputs!I13)</f>
        <v/>
      </c>
      <c r="J65" s="11">
        <f>I65*(1+Inputs!J28+Inputs!J13)</f>
        <v/>
      </c>
    </row>
    <row r="66">
      <c r="A66" s="6" t="inlineStr">
        <is>
          <t>Total revenue (US$ mn)</t>
        </is>
      </c>
      <c r="B66" s="26" t="inlineStr">
        <is>
          <t>US$ mn</t>
        </is>
      </c>
      <c r="C66" s="43">
        <f>SUM(C58:C65)</f>
        <v/>
      </c>
      <c r="D66" s="43">
        <f>SUM(D58:D65)</f>
        <v/>
      </c>
      <c r="E66" s="43">
        <f>SUM(E58:E65)</f>
        <v/>
      </c>
      <c r="F66" s="43">
        <f>SUM(F58:F65)</f>
        <v/>
      </c>
      <c r="G66" s="43">
        <f>SUM(G58:G65)</f>
        <v/>
      </c>
      <c r="H66" s="43">
        <f>SUM(H58:H65)</f>
        <v/>
      </c>
      <c r="I66" s="43">
        <f>SUM(I58:I65)</f>
        <v/>
      </c>
      <c r="J66" s="43">
        <f>SUM(J58:J65)</f>
        <v/>
      </c>
    </row>
    <row r="67">
      <c r="A67" s="48" t="inlineStr">
        <is>
          <t xml:space="preserve">  growth (USD, ~constant-currency proxy)</t>
        </is>
      </c>
      <c r="B67" s="26" t="inlineStr">
        <is>
          <t>%</t>
        </is>
      </c>
      <c r="D67" s="49">
        <f>D66/C66-1</f>
        <v/>
      </c>
      <c r="E67" s="49">
        <f>E66/D66-1</f>
        <v/>
      </c>
      <c r="F67" s="49">
        <f>F66/E66-1</f>
        <v/>
      </c>
      <c r="G67" s="49">
        <f>G66/F66-1</f>
        <v/>
      </c>
      <c r="H67" s="49">
        <f>H66/G66-1</f>
        <v/>
      </c>
      <c r="I67" s="49">
        <f>I66/H66-1</f>
        <v/>
      </c>
      <c r="J67" s="49">
        <f>J66/I66-1</f>
        <v/>
      </c>
    </row>
    <row r="68">
      <c r="A68" s="42" t="inlineStr">
        <is>
          <t>Revenue by vertical in Rs crore</t>
        </is>
      </c>
    </row>
    <row r="69">
      <c r="A69" s="8" t="inlineStr">
        <is>
          <t>Financial Services (incl. Insurance)</t>
        </is>
      </c>
      <c r="B69" s="26" t="inlineStr">
        <is>
          <t>Rs cr</t>
        </is>
      </c>
      <c r="C69" s="45">
        <f>C8</f>
        <v/>
      </c>
      <c r="D69" s="45">
        <f>D8</f>
        <v/>
      </c>
      <c r="E69" s="45">
        <f>E8</f>
        <v/>
      </c>
      <c r="F69" s="45">
        <f>F58*F56/10</f>
        <v/>
      </c>
      <c r="G69" s="45">
        <f>G58*G56/10</f>
        <v/>
      </c>
      <c r="H69" s="45">
        <f>H58*H56/10</f>
        <v/>
      </c>
      <c r="I69" s="45">
        <f>I58*I56/10</f>
        <v/>
      </c>
      <c r="J69" s="45">
        <f>J58*J56/10</f>
        <v/>
      </c>
    </row>
    <row r="70">
      <c r="A70" s="8" t="inlineStr">
        <is>
          <t>Retail (incl. CPG, Logistics)</t>
        </is>
      </c>
      <c r="B70" s="26" t="inlineStr">
        <is>
          <t>Rs cr</t>
        </is>
      </c>
      <c r="C70" s="45">
        <f>C9</f>
        <v/>
      </c>
      <c r="D70" s="45">
        <f>D9</f>
        <v/>
      </c>
      <c r="E70" s="45">
        <f>E9</f>
        <v/>
      </c>
      <c r="F70" s="45">
        <f>F59*F56/10</f>
        <v/>
      </c>
      <c r="G70" s="45">
        <f>G59*G56/10</f>
        <v/>
      </c>
      <c r="H70" s="45">
        <f>H59*H56/10</f>
        <v/>
      </c>
      <c r="I70" s="45">
        <f>I59*I56/10</f>
        <v/>
      </c>
      <c r="J70" s="45">
        <f>J59*J56/10</f>
        <v/>
      </c>
    </row>
    <row r="71">
      <c r="A71" s="8" t="inlineStr">
        <is>
          <t>Communication (incl. Telecom OEM, Media)</t>
        </is>
      </c>
      <c r="B71" s="26" t="inlineStr">
        <is>
          <t>Rs cr</t>
        </is>
      </c>
      <c r="C71" s="45">
        <f>C10</f>
        <v/>
      </c>
      <c r="D71" s="45">
        <f>D10</f>
        <v/>
      </c>
      <c r="E71" s="45">
        <f>E10</f>
        <v/>
      </c>
      <c r="F71" s="45">
        <f>F60*F56/10</f>
        <v/>
      </c>
      <c r="G71" s="45">
        <f>G60*G56/10</f>
        <v/>
      </c>
      <c r="H71" s="45">
        <f>H60*H56/10</f>
        <v/>
      </c>
      <c r="I71" s="45">
        <f>I60*I56/10</f>
        <v/>
      </c>
      <c r="J71" s="45">
        <f>J60*J56/10</f>
        <v/>
      </c>
    </row>
    <row r="72">
      <c r="A72" s="8" t="inlineStr">
        <is>
          <t>Energy, Utilities, Resources &amp; Services</t>
        </is>
      </c>
      <c r="B72" s="26" t="inlineStr">
        <is>
          <t>Rs cr</t>
        </is>
      </c>
      <c r="C72" s="45">
        <f>C11</f>
        <v/>
      </c>
      <c r="D72" s="45">
        <f>D11</f>
        <v/>
      </c>
      <c r="E72" s="45">
        <f>E11</f>
        <v/>
      </c>
      <c r="F72" s="45">
        <f>F61*F56/10</f>
        <v/>
      </c>
      <c r="G72" s="45">
        <f>G61*G56/10</f>
        <v/>
      </c>
      <c r="H72" s="45">
        <f>H61*H56/10</f>
        <v/>
      </c>
      <c r="I72" s="45">
        <f>I61*I56/10</f>
        <v/>
      </c>
      <c r="J72" s="45">
        <f>J61*J56/10</f>
        <v/>
      </c>
    </row>
    <row r="73">
      <c r="A73" s="8" t="inlineStr">
        <is>
          <t>Manufacturing</t>
        </is>
      </c>
      <c r="B73" s="26" t="inlineStr">
        <is>
          <t>Rs cr</t>
        </is>
      </c>
      <c r="C73" s="45">
        <f>C12</f>
        <v/>
      </c>
      <c r="D73" s="45">
        <f>D12</f>
        <v/>
      </c>
      <c r="E73" s="45">
        <f>E12</f>
        <v/>
      </c>
      <c r="F73" s="45">
        <f>F62*F56/10</f>
        <v/>
      </c>
      <c r="G73" s="45">
        <f>G62*G56/10</f>
        <v/>
      </c>
      <c r="H73" s="45">
        <f>H62*H56/10</f>
        <v/>
      </c>
      <c r="I73" s="45">
        <f>I62*I56/10</f>
        <v/>
      </c>
      <c r="J73" s="45">
        <f>J62*J56/10</f>
        <v/>
      </c>
    </row>
    <row r="74">
      <c r="A74" s="8" t="inlineStr">
        <is>
          <t>Hi-Tech</t>
        </is>
      </c>
      <c r="B74" s="26" t="inlineStr">
        <is>
          <t>Rs cr</t>
        </is>
      </c>
      <c r="C74" s="45">
        <f>C13</f>
        <v/>
      </c>
      <c r="D74" s="45">
        <f>D13</f>
        <v/>
      </c>
      <c r="E74" s="45">
        <f>E13</f>
        <v/>
      </c>
      <c r="F74" s="45">
        <f>F63*F56/10</f>
        <v/>
      </c>
      <c r="G74" s="45">
        <f>G63*G56/10</f>
        <v/>
      </c>
      <c r="H74" s="45">
        <f>H63*H56/10</f>
        <v/>
      </c>
      <c r="I74" s="45">
        <f>I63*I56/10</f>
        <v/>
      </c>
      <c r="J74" s="45">
        <f>J63*J56/10</f>
        <v/>
      </c>
    </row>
    <row r="75">
      <c r="A75" s="8" t="inlineStr">
        <is>
          <t>Life Sciences (incl. Healthcare)</t>
        </is>
      </c>
      <c r="B75" s="26" t="inlineStr">
        <is>
          <t>Rs cr</t>
        </is>
      </c>
      <c r="C75" s="45">
        <f>C14</f>
        <v/>
      </c>
      <c r="D75" s="45">
        <f>D14</f>
        <v/>
      </c>
      <c r="E75" s="45">
        <f>E14</f>
        <v/>
      </c>
      <c r="F75" s="45">
        <f>F64*F56/10</f>
        <v/>
      </c>
      <c r="G75" s="45">
        <f>G64*G56/10</f>
        <v/>
      </c>
      <c r="H75" s="45">
        <f>H64*H56/10</f>
        <v/>
      </c>
      <c r="I75" s="45">
        <f>I64*I56/10</f>
        <v/>
      </c>
      <c r="J75" s="45">
        <f>J64*J56/10</f>
        <v/>
      </c>
    </row>
    <row r="76">
      <c r="A76" s="8" t="inlineStr">
        <is>
          <t>All other segments (India, Japan, China, Public Services)</t>
        </is>
      </c>
      <c r="B76" s="26" t="inlineStr">
        <is>
          <t>Rs cr</t>
        </is>
      </c>
      <c r="C76" s="45">
        <f>C15</f>
        <v/>
      </c>
      <c r="D76" s="45">
        <f>D15</f>
        <v/>
      </c>
      <c r="E76" s="45">
        <f>E15</f>
        <v/>
      </c>
      <c r="F76" s="45">
        <f>F65*F56/10</f>
        <v/>
      </c>
      <c r="G76" s="45">
        <f>G65*G56/10</f>
        <v/>
      </c>
      <c r="H76" s="45">
        <f>H65*H56/10</f>
        <v/>
      </c>
      <c r="I76" s="45">
        <f>I65*I56/10</f>
        <v/>
      </c>
      <c r="J76" s="45">
        <f>J65*J56/10</f>
        <v/>
      </c>
    </row>
    <row r="77">
      <c r="A77" s="6" t="inlineStr">
        <is>
          <t>CONSOLIDATED REVENUE FROM OPERATIONS</t>
        </is>
      </c>
      <c r="B77" s="26" t="inlineStr">
        <is>
          <t>Rs cr</t>
        </is>
      </c>
      <c r="C77" s="43">
        <f>SUM(C69:C76)</f>
        <v/>
      </c>
      <c r="D77" s="43">
        <f>SUM(D69:D76)</f>
        <v/>
      </c>
      <c r="E77" s="43">
        <f>SUM(E69:E76)</f>
        <v/>
      </c>
      <c r="F77" s="43">
        <f>SUM(F69:F76)</f>
        <v/>
      </c>
      <c r="G77" s="43">
        <f>SUM(G69:G76)</f>
        <v/>
      </c>
      <c r="H77" s="43">
        <f>SUM(H69:H76)</f>
        <v/>
      </c>
      <c r="I77" s="43">
        <f>SUM(I69:I76)</f>
        <v/>
      </c>
      <c r="J77" s="43">
        <f>SUM(J69:J76)</f>
        <v/>
      </c>
    </row>
    <row r="78">
      <c r="A78" s="48" t="inlineStr">
        <is>
          <t xml:space="preserve">  growth (INR)</t>
        </is>
      </c>
      <c r="B78" s="26" t="inlineStr">
        <is>
          <t>%</t>
        </is>
      </c>
      <c r="D78" s="49">
        <f>D77/C77-1</f>
        <v/>
      </c>
      <c r="E78" s="49">
        <f>E77/D77-1</f>
        <v/>
      </c>
      <c r="F78" s="49">
        <f>F77/E77-1</f>
        <v/>
      </c>
      <c r="G78" s="49">
        <f>G77/F77-1</f>
        <v/>
      </c>
      <c r="H78" s="49">
        <f>H77/G77-1</f>
        <v/>
      </c>
      <c r="I78" s="49">
        <f>I77/H77-1</f>
        <v/>
      </c>
      <c r="J78" s="49">
        <f>J77/I77-1</f>
        <v/>
      </c>
    </row>
    <row r="79">
      <c r="A79" s="48" t="inlineStr">
        <is>
          <t xml:space="preserve">  Financial Services share of revenue</t>
        </is>
      </c>
      <c r="B79" s="26" t="inlineStr">
        <is>
          <t>%</t>
        </is>
      </c>
      <c r="C79" s="49">
        <f>C69/C77</f>
        <v/>
      </c>
      <c r="D79" s="49">
        <f>D69/D77</f>
        <v/>
      </c>
      <c r="E79" s="49">
        <f>E69/E77</f>
        <v/>
      </c>
      <c r="F79" s="49">
        <f>F69/F77</f>
        <v/>
      </c>
      <c r="G79" s="49">
        <f>G69/G77</f>
        <v/>
      </c>
      <c r="H79" s="49">
        <f>H69/H77</f>
        <v/>
      </c>
      <c r="I79" s="49">
        <f>I69/I77</f>
        <v/>
      </c>
      <c r="J79" s="49">
        <f>J69/J77</f>
        <v/>
      </c>
    </row>
    <row r="81">
      <c r="A81" s="42" t="inlineStr">
        <is>
          <t>Headcount and employee cost build</t>
        </is>
      </c>
    </row>
    <row r="82">
      <c r="A82" s="8" t="inlineStr">
        <is>
          <t>Headcount - end of year</t>
        </is>
      </c>
      <c r="B82" s="26" t="inlineStr">
        <is>
          <t>#</t>
        </is>
      </c>
      <c r="D82" s="45">
        <f>D49</f>
        <v/>
      </c>
      <c r="E82" s="45">
        <f>E49</f>
        <v/>
      </c>
      <c r="F82" s="11">
        <f>E82*(1+Inputs!F32+Inputs!$C$33*Inputs!F13)</f>
        <v/>
      </c>
      <c r="G82" s="11">
        <f>F82*(1+Inputs!G32+Inputs!$C$33*Inputs!G13)</f>
        <v/>
      </c>
      <c r="H82" s="11">
        <f>G82*(1+Inputs!H32+Inputs!$C$33*Inputs!H13)</f>
        <v/>
      </c>
      <c r="I82" s="11">
        <f>H82*(1+Inputs!I32+Inputs!$C$33*Inputs!I13)</f>
        <v/>
      </c>
      <c r="J82" s="11">
        <f>I82*(1+Inputs!J32+Inputs!$C$33*Inputs!J13)</f>
        <v/>
      </c>
    </row>
    <row r="83">
      <c r="A83" s="8" t="inlineStr">
        <is>
          <t>Average headcount</t>
        </is>
      </c>
      <c r="B83" s="26" t="inlineStr">
        <is>
          <t>#</t>
        </is>
      </c>
      <c r="E83" s="45">
        <f>E50</f>
        <v/>
      </c>
      <c r="F83" s="45">
        <f>AVERAGE(E82,F82)</f>
        <v/>
      </c>
      <c r="G83" s="45">
        <f>AVERAGE(F82,G82)</f>
        <v/>
      </c>
      <c r="H83" s="45">
        <f>AVERAGE(G82,H82)</f>
        <v/>
      </c>
      <c r="I83" s="45">
        <f>AVERAGE(H82,I82)</f>
        <v/>
      </c>
      <c r="J83" s="45">
        <f>AVERAGE(I82,J82)</f>
        <v/>
      </c>
    </row>
    <row r="84">
      <c r="A84" s="8" t="inlineStr">
        <is>
          <t>Employee cost per average head (Rs lakh)</t>
        </is>
      </c>
      <c r="B84" s="26" t="inlineStr">
        <is>
          <t>Rs lakh</t>
        </is>
      </c>
      <c r="E84" s="41">
        <f>E51</f>
        <v/>
      </c>
      <c r="F84" s="9">
        <f>E84*(1+Inputs!F18)</f>
        <v/>
      </c>
      <c r="G84" s="9">
        <f>F84*(1+Inputs!G18)</f>
        <v/>
      </c>
      <c r="H84" s="9">
        <f>G84*(1+Inputs!H18)</f>
        <v/>
      </c>
      <c r="I84" s="9">
        <f>H84*(1+Inputs!I18)</f>
        <v/>
      </c>
      <c r="J84" s="9">
        <f>I84*(1+Inputs!J18)</f>
        <v/>
      </c>
    </row>
    <row r="85">
      <c r="A85" s="6" t="inlineStr">
        <is>
          <t>Employee benefit expense (Rs crore)</t>
        </is>
      </c>
      <c r="B85" s="26" t="inlineStr">
        <is>
          <t>Rs cr</t>
        </is>
      </c>
      <c r="C85" s="50">
        <f>IS!C10</f>
        <v/>
      </c>
      <c r="D85" s="50">
        <f>IS!D10</f>
        <v/>
      </c>
      <c r="E85" s="50">
        <f>IS!E10</f>
        <v/>
      </c>
      <c r="F85" s="51">
        <f>F83*F84/100</f>
        <v/>
      </c>
      <c r="G85" s="51">
        <f>G83*G84/100</f>
        <v/>
      </c>
      <c r="H85" s="51">
        <f>H83*H84/100</f>
        <v/>
      </c>
      <c r="I85" s="51">
        <f>I83*I84/100</f>
        <v/>
      </c>
      <c r="J85" s="51">
        <f>J83*J84/100</f>
        <v/>
      </c>
    </row>
    <row r="86">
      <c r="A86" s="48" t="inlineStr">
        <is>
          <t xml:space="preserve">  employee cost % of revenue</t>
        </is>
      </c>
      <c r="B86" s="26" t="inlineStr">
        <is>
          <t>%</t>
        </is>
      </c>
      <c r="C86" s="49">
        <f>C85/C77</f>
        <v/>
      </c>
      <c r="D86" s="49">
        <f>D85/D77</f>
        <v/>
      </c>
      <c r="E86" s="49">
        <f>E85/E77</f>
        <v/>
      </c>
      <c r="F86" s="49">
        <f>F85/F77</f>
        <v/>
      </c>
      <c r="G86" s="49">
        <f>G85/G77</f>
        <v/>
      </c>
      <c r="H86" s="49">
        <f>H85/H77</f>
        <v/>
      </c>
      <c r="I86" s="49">
        <f>I85/I77</f>
        <v/>
      </c>
      <c r="J86" s="49">
        <f>J85/J77</f>
        <v/>
      </c>
    </row>
    <row r="87">
      <c r="A87" s="8" t="inlineStr">
        <is>
          <t>Revenue per average head (Rs lakh)</t>
        </is>
      </c>
      <c r="B87" s="26" t="inlineStr">
        <is>
          <t>Rs lakh</t>
        </is>
      </c>
      <c r="E87" s="41">
        <f>E52</f>
        <v/>
      </c>
      <c r="F87" s="41">
        <f>F77/F83*100</f>
        <v/>
      </c>
      <c r="G87" s="41">
        <f>G77/G83*100</f>
        <v/>
      </c>
      <c r="H87" s="41">
        <f>H77/H83*100</f>
        <v/>
      </c>
      <c r="I87" s="41">
        <f>I77/I83*100</f>
        <v/>
      </c>
      <c r="J87" s="41">
        <f>J77/J83*100</f>
        <v/>
      </c>
    </row>
    <row r="88">
      <c r="A88" s="48" t="inlineStr">
        <is>
          <t xml:space="preserve">  growth in revenue per head</t>
        </is>
      </c>
      <c r="B88" s="26" t="inlineStr">
        <is>
          <t>%</t>
        </is>
      </c>
      <c r="F88" s="49">
        <f>F87/E87-1</f>
        <v/>
      </c>
      <c r="G88" s="49">
        <f>G87/F87-1</f>
        <v/>
      </c>
      <c r="H88" s="49">
        <f>H87/G87-1</f>
        <v/>
      </c>
      <c r="I88" s="49">
        <f>I87/H87-1</f>
        <v/>
      </c>
      <c r="J88" s="49">
        <f>J87/I87-1</f>
        <v/>
      </c>
    </row>
    <row r="89">
      <c r="A89" s="8" t="inlineStr">
        <is>
          <t>US$ revenue per average head (US$ thousand)</t>
        </is>
      </c>
      <c r="B89" s="26" t="inlineStr">
        <is>
          <t>US$ k</t>
        </is>
      </c>
      <c r="E89" s="52">
        <f>E66/E83*1000</f>
        <v/>
      </c>
      <c r="F89" s="52">
        <f>F66/F83*1000</f>
        <v/>
      </c>
      <c r="G89" s="52">
        <f>G66/G83*1000</f>
        <v/>
      </c>
      <c r="H89" s="52">
        <f>H66/H83*1000</f>
        <v/>
      </c>
      <c r="I89" s="52">
        <f>I66/I83*1000</f>
        <v/>
      </c>
      <c r="J89" s="52">
        <f>J66/J83*1000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L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Consolidated Income Statement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CONSOLIDATED STATEMENT OF PROFIT AND LOSS  (Rs crore, Ind AS)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6" t="inlineStr">
        <is>
          <t>Revenue from operations</t>
        </is>
      </c>
      <c r="B7" s="26" t="inlineStr">
        <is>
          <t>Rs cr</t>
        </is>
      </c>
      <c r="C7" s="53" t="n">
        <v>146767</v>
      </c>
      <c r="D7" s="53" t="n">
        <v>153670</v>
      </c>
      <c r="E7" s="53" t="n">
        <v>162990</v>
      </c>
      <c r="F7" s="50">
        <f>Segments!F77</f>
        <v/>
      </c>
      <c r="G7" s="50">
        <f>Segments!G77</f>
        <v/>
      </c>
      <c r="H7" s="50">
        <f>Segments!H77</f>
        <v/>
      </c>
      <c r="I7" s="50">
        <f>Segments!I77</f>
        <v/>
      </c>
      <c r="J7" s="50">
        <f>Segments!J77</f>
        <v/>
      </c>
    </row>
    <row r="8">
      <c r="A8" s="8" t="inlineStr">
        <is>
          <t>Other income, net</t>
        </is>
      </c>
      <c r="B8" s="26" t="inlineStr">
        <is>
          <t>Rs cr</t>
        </is>
      </c>
      <c r="C8" s="40" t="n">
        <v>2701</v>
      </c>
      <c r="D8" s="40" t="n">
        <v>4711</v>
      </c>
      <c r="E8" s="40" t="n">
        <v>3600</v>
      </c>
      <c r="F8" s="11">
        <f>Inputs!F43*(BS!E23+BS!E21+BS!E13)</f>
        <v/>
      </c>
      <c r="G8" s="11">
        <f>Inputs!G43*(BS!F23+BS!F21+BS!F13)</f>
        <v/>
      </c>
      <c r="H8" s="11">
        <f>Inputs!H43*(BS!G23+BS!G21+BS!G13)</f>
        <v/>
      </c>
      <c r="I8" s="11">
        <f>Inputs!I43*(BS!H23+BS!H21+BS!H13)</f>
        <v/>
      </c>
      <c r="J8" s="11">
        <f>Inputs!J43*(BS!I23+BS!I21+BS!I13)</f>
        <v/>
      </c>
    </row>
    <row r="9">
      <c r="A9" s="6" t="inlineStr">
        <is>
          <t>Total income</t>
        </is>
      </c>
      <c r="B9" s="26" t="inlineStr">
        <is>
          <t>Rs cr</t>
        </is>
      </c>
      <c r="C9" s="43">
        <f>C7+C8</f>
        <v/>
      </c>
      <c r="D9" s="43">
        <f>D7+D8</f>
        <v/>
      </c>
      <c r="E9" s="43">
        <f>E7+E8</f>
        <v/>
      </c>
      <c r="F9" s="43">
        <f>F7+F8</f>
        <v/>
      </c>
      <c r="G9" s="43">
        <f>G7+G8</f>
        <v/>
      </c>
      <c r="H9" s="43">
        <f>H7+H8</f>
        <v/>
      </c>
      <c r="I9" s="43">
        <f>I7+I8</f>
        <v/>
      </c>
      <c r="J9" s="43">
        <f>J7+J8</f>
        <v/>
      </c>
    </row>
    <row r="10">
      <c r="A10" s="8" t="inlineStr">
        <is>
          <t>Employee benefit expenses</t>
        </is>
      </c>
      <c r="B10" s="26" t="inlineStr">
        <is>
          <t>Rs cr</t>
        </is>
      </c>
      <c r="C10" s="40" t="n">
        <v>78359</v>
      </c>
      <c r="D10" s="40" t="n">
        <v>82620</v>
      </c>
      <c r="E10" s="40" t="n">
        <v>85950</v>
      </c>
      <c r="F10" s="11">
        <f>Segments!F85</f>
        <v/>
      </c>
      <c r="G10" s="11">
        <f>Segments!G85</f>
        <v/>
      </c>
      <c r="H10" s="11">
        <f>Segments!H85</f>
        <v/>
      </c>
      <c r="I10" s="11">
        <f>Segments!I85</f>
        <v/>
      </c>
      <c r="J10" s="11">
        <f>Segments!J85</f>
        <v/>
      </c>
    </row>
    <row r="11">
      <c r="A11" s="8" t="inlineStr">
        <is>
          <t>Cost of technical sub-contractors</t>
        </is>
      </c>
      <c r="B11" s="26" t="inlineStr">
        <is>
          <t>Rs cr</t>
        </is>
      </c>
      <c r="C11" s="40" t="n">
        <v>14062</v>
      </c>
      <c r="D11" s="40" t="n">
        <v>12232</v>
      </c>
      <c r="E11" s="40" t="n">
        <v>12937</v>
      </c>
      <c r="F11" s="11">
        <f>Inputs!F34*F7</f>
        <v/>
      </c>
      <c r="G11" s="11">
        <f>Inputs!G34*G7</f>
        <v/>
      </c>
      <c r="H11" s="11">
        <f>Inputs!H34*H7</f>
        <v/>
      </c>
      <c r="I11" s="11">
        <f>Inputs!I34*I7</f>
        <v/>
      </c>
      <c r="J11" s="11">
        <f>Inputs!J34*J7</f>
        <v/>
      </c>
    </row>
    <row r="12">
      <c r="A12" s="8" t="inlineStr">
        <is>
          <t>Travel expenses</t>
        </is>
      </c>
      <c r="B12" s="26" t="inlineStr">
        <is>
          <t>Rs cr</t>
        </is>
      </c>
      <c r="C12" s="40" t="n">
        <v>1525</v>
      </c>
      <c r="D12" s="40" t="n">
        <v>1759</v>
      </c>
      <c r="E12" s="40" t="n">
        <v>1894</v>
      </c>
      <c r="F12" s="11">
        <f>Inputs!F35*F7</f>
        <v/>
      </c>
      <c r="G12" s="11">
        <f>Inputs!G35*G7</f>
        <v/>
      </c>
      <c r="H12" s="11">
        <f>Inputs!H35*H7</f>
        <v/>
      </c>
      <c r="I12" s="11">
        <f>Inputs!I35*I7</f>
        <v/>
      </c>
      <c r="J12" s="11">
        <f>Inputs!J35*J7</f>
        <v/>
      </c>
    </row>
    <row r="13">
      <c r="A13" s="8" t="inlineStr">
        <is>
          <t>Cost of software packages and others</t>
        </is>
      </c>
      <c r="B13" s="26" t="inlineStr">
        <is>
          <t>Rs cr</t>
        </is>
      </c>
      <c r="C13" s="40" t="n">
        <v>10902</v>
      </c>
      <c r="D13" s="40" t="n">
        <v>13515</v>
      </c>
      <c r="E13" s="40" t="n">
        <v>15911</v>
      </c>
      <c r="F13" s="11">
        <f>Inputs!F36*F7</f>
        <v/>
      </c>
      <c r="G13" s="11">
        <f>Inputs!G36*G7</f>
        <v/>
      </c>
      <c r="H13" s="11">
        <f>Inputs!H36*H7</f>
        <v/>
      </c>
      <c r="I13" s="11">
        <f>Inputs!I36*I7</f>
        <v/>
      </c>
      <c r="J13" s="11">
        <f>Inputs!J36*J7</f>
        <v/>
      </c>
    </row>
    <row r="14">
      <c r="A14" s="8" t="inlineStr">
        <is>
          <t>Communication expenses</t>
        </is>
      </c>
      <c r="B14" s="26" t="inlineStr">
        <is>
          <t>Rs cr</t>
        </is>
      </c>
      <c r="C14" s="40" t="n">
        <v>713</v>
      </c>
      <c r="D14" s="40" t="n">
        <v>677</v>
      </c>
      <c r="E14" s="40" t="n">
        <v>620</v>
      </c>
      <c r="F14" s="11">
        <f>Inputs!F37*F7</f>
        <v/>
      </c>
      <c r="G14" s="11">
        <f>Inputs!G37*G7</f>
        <v/>
      </c>
      <c r="H14" s="11">
        <f>Inputs!H37*H7</f>
        <v/>
      </c>
      <c r="I14" s="11">
        <f>Inputs!I37*I7</f>
        <v/>
      </c>
      <c r="J14" s="11">
        <f>Inputs!J37*J7</f>
        <v/>
      </c>
    </row>
    <row r="15">
      <c r="A15" s="8" t="inlineStr">
        <is>
          <t>Consultancy and professional charges</t>
        </is>
      </c>
      <c r="B15" s="26" t="inlineStr">
        <is>
          <t>Rs cr</t>
        </is>
      </c>
      <c r="C15" s="40" t="n">
        <v>1684</v>
      </c>
      <c r="D15" s="40" t="n">
        <v>1726</v>
      </c>
      <c r="E15" s="40" t="n">
        <v>1655</v>
      </c>
      <c r="F15" s="11">
        <f>Inputs!F38*F7</f>
        <v/>
      </c>
      <c r="G15" s="11">
        <f>Inputs!G38*G7</f>
        <v/>
      </c>
      <c r="H15" s="11">
        <f>Inputs!H38*H7</f>
        <v/>
      </c>
      <c r="I15" s="11">
        <f>Inputs!I38*I7</f>
        <v/>
      </c>
      <c r="J15" s="11">
        <f>Inputs!J38*J7</f>
        <v/>
      </c>
    </row>
    <row r="16">
      <c r="A16" s="8" t="inlineStr">
        <is>
          <t>Depreciation and amortization expenses</t>
        </is>
      </c>
      <c r="B16" s="26" t="inlineStr">
        <is>
          <t>Rs cr</t>
        </is>
      </c>
      <c r="C16" s="40" t="n">
        <v>4225</v>
      </c>
      <c r="D16" s="40" t="n">
        <v>4678</v>
      </c>
      <c r="E16" s="40" t="n">
        <v>4812</v>
      </c>
      <c r="F16" s="11">
        <f>Sched!F28</f>
        <v/>
      </c>
      <c r="G16" s="11">
        <f>Sched!G28</f>
        <v/>
      </c>
      <c r="H16" s="11">
        <f>Sched!H28</f>
        <v/>
      </c>
      <c r="I16" s="11">
        <f>Sched!I28</f>
        <v/>
      </c>
      <c r="J16" s="11">
        <f>Sched!J28</f>
        <v/>
      </c>
    </row>
    <row r="17">
      <c r="A17" s="8" t="inlineStr">
        <is>
          <t>Finance cost</t>
        </is>
      </c>
      <c r="B17" s="26" t="inlineStr">
        <is>
          <t>Rs cr</t>
        </is>
      </c>
      <c r="C17" s="40" t="n">
        <v>284</v>
      </c>
      <c r="D17" s="40" t="n">
        <v>470</v>
      </c>
      <c r="E17" s="40" t="n">
        <v>416</v>
      </c>
      <c r="F17" s="11">
        <f>Sched!F34</f>
        <v/>
      </c>
      <c r="G17" s="11">
        <f>Sched!G34</f>
        <v/>
      </c>
      <c r="H17" s="11">
        <f>Sched!H34</f>
        <v/>
      </c>
      <c r="I17" s="11">
        <f>Sched!I34</f>
        <v/>
      </c>
      <c r="J17" s="11">
        <f>Sched!J34</f>
        <v/>
      </c>
    </row>
    <row r="18">
      <c r="A18" s="8" t="inlineStr">
        <is>
          <t>Other expenses</t>
        </is>
      </c>
      <c r="B18" s="26" t="inlineStr">
        <is>
          <t>Rs cr</t>
        </is>
      </c>
      <c r="C18" s="40" t="n">
        <v>4392</v>
      </c>
      <c r="D18" s="40" t="n">
        <v>4716</v>
      </c>
      <c r="E18" s="40" t="n">
        <v>4787</v>
      </c>
      <c r="F18" s="11">
        <f>Inputs!F39*F7</f>
        <v/>
      </c>
      <c r="G18" s="11">
        <f>Inputs!G39*G7</f>
        <v/>
      </c>
      <c r="H18" s="11">
        <f>Inputs!H39*H7</f>
        <v/>
      </c>
      <c r="I18" s="11">
        <f>Inputs!I39*I7</f>
        <v/>
      </c>
      <c r="J18" s="11">
        <f>Inputs!J39*J7</f>
        <v/>
      </c>
    </row>
    <row r="19">
      <c r="A19" s="6" t="inlineStr">
        <is>
          <t>Total expenses</t>
        </is>
      </c>
      <c r="B19" s="26" t="inlineStr">
        <is>
          <t>Rs cr</t>
        </is>
      </c>
      <c r="C19" s="43">
        <f>SUM(C10:C18)</f>
        <v/>
      </c>
      <c r="D19" s="43">
        <f>SUM(D10:D18)</f>
        <v/>
      </c>
      <c r="E19" s="43">
        <f>SUM(E10:E18)</f>
        <v/>
      </c>
      <c r="F19" s="43">
        <f>SUM(F10:F18)</f>
        <v/>
      </c>
      <c r="G19" s="43">
        <f>SUM(G10:G18)</f>
        <v/>
      </c>
      <c r="H19" s="43">
        <f>SUM(H10:H18)</f>
        <v/>
      </c>
      <c r="I19" s="43">
        <f>SUM(I10:I18)</f>
        <v/>
      </c>
      <c r="J19" s="43">
        <f>SUM(J10:J18)</f>
        <v/>
      </c>
    </row>
    <row r="20">
      <c r="A20" s="6" t="inlineStr">
        <is>
          <t>Profit before tax</t>
        </is>
      </c>
      <c r="B20" s="26" t="inlineStr">
        <is>
          <t>Rs cr</t>
        </is>
      </c>
      <c r="C20" s="51">
        <f>C9-C19</f>
        <v/>
      </c>
      <c r="D20" s="51">
        <f>D9-D19</f>
        <v/>
      </c>
      <c r="E20" s="51">
        <f>E9-E19</f>
        <v/>
      </c>
      <c r="F20" s="51">
        <f>F9-F19</f>
        <v/>
      </c>
      <c r="G20" s="51">
        <f>G9-G19</f>
        <v/>
      </c>
      <c r="H20" s="51">
        <f>H9-H19</f>
        <v/>
      </c>
      <c r="I20" s="51">
        <f>I9-I19</f>
        <v/>
      </c>
      <c r="J20" s="51">
        <f>J9-J19</f>
        <v/>
      </c>
    </row>
    <row r="21">
      <c r="A21" s="8" t="inlineStr">
        <is>
          <t>Current tax</t>
        </is>
      </c>
      <c r="B21" s="26" t="inlineStr">
        <is>
          <t>Rs cr</t>
        </is>
      </c>
      <c r="C21" s="40" t="n">
        <v>9287</v>
      </c>
      <c r="D21" s="40" t="n">
        <v>8390</v>
      </c>
      <c r="E21" s="40" t="n">
        <v>12130</v>
      </c>
      <c r="F21" s="11">
        <f>Inputs!F44*F20</f>
        <v/>
      </c>
      <c r="G21" s="11">
        <f>Inputs!G44*G20</f>
        <v/>
      </c>
      <c r="H21" s="11">
        <f>Inputs!H44*H20</f>
        <v/>
      </c>
      <c r="I21" s="11">
        <f>Inputs!I44*I20</f>
        <v/>
      </c>
      <c r="J21" s="11">
        <f>Inputs!J44*J20</f>
        <v/>
      </c>
    </row>
    <row r="22">
      <c r="A22" s="8" t="inlineStr">
        <is>
          <t>Deferred tax</t>
        </is>
      </c>
      <c r="B22" s="26" t="inlineStr">
        <is>
          <t>Rs cr</t>
        </is>
      </c>
      <c r="C22" s="40" t="n">
        <v>-73</v>
      </c>
      <c r="D22" s="40" t="n">
        <v>1350</v>
      </c>
      <c r="E22" s="40" t="n">
        <v>-1272</v>
      </c>
      <c r="F22" s="40" t="n">
        <v>0</v>
      </c>
      <c r="G22" s="40" t="n">
        <v>0</v>
      </c>
      <c r="H22" s="40" t="n">
        <v>0</v>
      </c>
      <c r="I22" s="40" t="n">
        <v>0</v>
      </c>
      <c r="J22" s="40" t="n">
        <v>0</v>
      </c>
    </row>
    <row r="23">
      <c r="A23" s="8" t="inlineStr">
        <is>
          <t>Total tax expense</t>
        </is>
      </c>
      <c r="B23" s="26" t="inlineStr">
        <is>
          <t>Rs cr</t>
        </is>
      </c>
      <c r="C23" s="54">
        <f>C21+C22</f>
        <v/>
      </c>
      <c r="D23" s="54">
        <f>D21+D22</f>
        <v/>
      </c>
      <c r="E23" s="54">
        <f>E21+E22</f>
        <v/>
      </c>
      <c r="F23" s="54">
        <f>F21+F22</f>
        <v/>
      </c>
      <c r="G23" s="54">
        <f>G21+G22</f>
        <v/>
      </c>
      <c r="H23" s="54">
        <f>H21+H22</f>
        <v/>
      </c>
      <c r="I23" s="54">
        <f>I21+I22</f>
        <v/>
      </c>
      <c r="J23" s="54">
        <f>J21+J22</f>
        <v/>
      </c>
    </row>
    <row r="24">
      <c r="A24" s="6" t="inlineStr">
        <is>
          <t>Profit for the year</t>
        </is>
      </c>
      <c r="B24" s="26" t="inlineStr">
        <is>
          <t>Rs cr</t>
        </is>
      </c>
      <c r="C24" s="43">
        <f>C20-C23</f>
        <v/>
      </c>
      <c r="D24" s="43">
        <f>D20-D23</f>
        <v/>
      </c>
      <c r="E24" s="43">
        <f>E20-E23</f>
        <v/>
      </c>
      <c r="F24" s="43">
        <f>F20-F23</f>
        <v/>
      </c>
      <c r="G24" s="43">
        <f>G20-G23</f>
        <v/>
      </c>
      <c r="H24" s="43">
        <f>H20-H23</f>
        <v/>
      </c>
      <c r="I24" s="43">
        <f>I20-I23</f>
        <v/>
      </c>
      <c r="J24" s="43">
        <f>J20-J23</f>
        <v/>
      </c>
    </row>
    <row r="25">
      <c r="A25" s="8" t="inlineStr">
        <is>
          <t xml:space="preserve">  attributable to non-controlling interests</t>
        </is>
      </c>
      <c r="B25" s="26" t="inlineStr">
        <is>
          <t>Rs cr</t>
        </is>
      </c>
      <c r="C25" s="40" t="n">
        <v>13</v>
      </c>
      <c r="D25" s="40" t="n">
        <v>15</v>
      </c>
      <c r="E25" s="40" t="n">
        <v>37</v>
      </c>
      <c r="F25" s="11">
        <f>F24*Inputs!F45</f>
        <v/>
      </c>
      <c r="G25" s="11">
        <f>G24*Inputs!G45</f>
        <v/>
      </c>
      <c r="H25" s="11">
        <f>H24*Inputs!H45</f>
        <v/>
      </c>
      <c r="I25" s="11">
        <f>I24*Inputs!I45</f>
        <v/>
      </c>
      <c r="J25" s="11">
        <f>J24*Inputs!J45</f>
        <v/>
      </c>
    </row>
    <row r="26">
      <c r="A26" s="6" t="inlineStr">
        <is>
          <t xml:space="preserve">  attributable to owners of the Company</t>
        </is>
      </c>
      <c r="B26" s="26" t="inlineStr">
        <is>
          <t>Rs cr</t>
        </is>
      </c>
      <c r="C26" s="53" t="n">
        <v>24095</v>
      </c>
      <c r="D26" s="53" t="n">
        <v>26233</v>
      </c>
      <c r="E26" s="53" t="n">
        <v>26713</v>
      </c>
      <c r="F26" s="51">
        <f>F24-F25</f>
        <v/>
      </c>
      <c r="G26" s="51">
        <f>G24-G25</f>
        <v/>
      </c>
      <c r="H26" s="51">
        <f>H24-H25</f>
        <v/>
      </c>
      <c r="I26" s="51">
        <f>I24-I25</f>
        <v/>
      </c>
      <c r="J26" s="51">
        <f>J24-J25</f>
        <v/>
      </c>
    </row>
    <row r="27">
      <c r="A27" s="8" t="inlineStr">
        <is>
          <t>Other comprehensive income, net of tax</t>
        </is>
      </c>
      <c r="B27" s="26" t="inlineStr">
        <is>
          <t>Rs cr</t>
        </is>
      </c>
      <c r="C27" s="40" t="n">
        <v>514</v>
      </c>
      <c r="D27" s="40" t="n">
        <v>520</v>
      </c>
      <c r="E27" s="40" t="n">
        <v>459</v>
      </c>
      <c r="F27" s="40" t="n">
        <v>0</v>
      </c>
      <c r="G27" s="40" t="n">
        <v>0</v>
      </c>
      <c r="H27" s="40" t="n">
        <v>0</v>
      </c>
      <c r="I27" s="40" t="n">
        <v>0</v>
      </c>
      <c r="J27" s="40" t="n">
        <v>0</v>
      </c>
      <c r="L27" s="28" t="inlineStr">
        <is>
          <t>FX translation and fair-value reserves not forecast.</t>
        </is>
      </c>
    </row>
    <row r="28">
      <c r="A28" s="6" t="inlineStr">
        <is>
          <t>Total comprehensive income</t>
        </is>
      </c>
      <c r="B28" s="26" t="inlineStr">
        <is>
          <t>Rs cr</t>
        </is>
      </c>
      <c r="C28" s="43">
        <f>C24+C27</f>
        <v/>
      </c>
      <c r="D28" s="43">
        <f>D24+D27</f>
        <v/>
      </c>
      <c r="E28" s="43">
        <f>E24+E27</f>
        <v/>
      </c>
      <c r="F28" s="43">
        <f>F24+F27</f>
        <v/>
      </c>
      <c r="G28" s="43">
        <f>G24+G27</f>
        <v/>
      </c>
      <c r="H28" s="43">
        <f>H24+H27</f>
        <v/>
      </c>
      <c r="I28" s="43">
        <f>I24+I27</f>
        <v/>
      </c>
      <c r="J28" s="43">
        <f>J24+J27</f>
        <v/>
      </c>
    </row>
    <row r="30">
      <c r="A30" s="42" t="inlineStr">
        <is>
          <t>Per-share data</t>
        </is>
      </c>
    </row>
    <row r="31">
      <c r="A31" s="8" t="inlineStr">
        <is>
          <t>Weighted average shares - basic (crore)</t>
        </is>
      </c>
      <c r="B31" s="26" t="inlineStr">
        <is>
          <t>crore</t>
        </is>
      </c>
      <c r="C31" s="36" t="n">
        <v>418.09</v>
      </c>
      <c r="D31" s="36" t="n">
        <v>413.857</v>
      </c>
      <c r="E31" s="36" t="n">
        <v>414.161</v>
      </c>
      <c r="F31" s="9">
        <f>Inputs!F48</f>
        <v/>
      </c>
      <c r="G31" s="9">
        <f>Inputs!G48</f>
        <v/>
      </c>
      <c r="H31" s="9">
        <f>Inputs!H48</f>
        <v/>
      </c>
      <c r="I31" s="9">
        <f>Inputs!I48</f>
        <v/>
      </c>
      <c r="J31" s="9">
        <f>Inputs!J48</f>
        <v/>
      </c>
    </row>
    <row r="32">
      <c r="A32" s="6" t="inlineStr">
        <is>
          <t>Basic EPS (Rs)</t>
        </is>
      </c>
      <c r="B32" s="26" t="inlineStr">
        <is>
          <t>Rs</t>
        </is>
      </c>
      <c r="C32" s="47">
        <f>C26/C31</f>
        <v/>
      </c>
      <c r="D32" s="47">
        <f>D26/D31</f>
        <v/>
      </c>
      <c r="E32" s="47">
        <f>E26/E31</f>
        <v/>
      </c>
      <c r="F32" s="47">
        <f>F26/F31</f>
        <v/>
      </c>
      <c r="G32" s="47">
        <f>G26/G31</f>
        <v/>
      </c>
      <c r="H32" s="47">
        <f>H26/H31</f>
        <v/>
      </c>
      <c r="I32" s="47">
        <f>I26/I31</f>
        <v/>
      </c>
      <c r="J32" s="47">
        <f>J26/J31</f>
        <v/>
      </c>
    </row>
    <row r="33">
      <c r="A33" s="8" t="inlineStr">
        <is>
          <t>Dividend per share paid (Rs)</t>
        </is>
      </c>
      <c r="B33" s="26" t="inlineStr">
        <is>
          <t>Rs</t>
        </is>
      </c>
      <c r="F33" s="9">
        <f>Inputs!F46</f>
        <v/>
      </c>
      <c r="G33" s="9">
        <f>Inputs!G46</f>
        <v/>
      </c>
      <c r="H33" s="9">
        <f>Inputs!H46</f>
        <v/>
      </c>
      <c r="I33" s="9">
        <f>Inputs!I46</f>
        <v/>
      </c>
      <c r="J33" s="9">
        <f>Inputs!J46</f>
        <v/>
      </c>
    </row>
    <row r="35">
      <c r="A35" s="42" t="inlineStr">
        <is>
          <t>Operating metrics (company definitions)</t>
        </is>
      </c>
    </row>
    <row r="36">
      <c r="A36" s="6" t="inlineStr">
        <is>
          <t>Operating profit (revenue - all expenses excl. finance cost)</t>
        </is>
      </c>
      <c r="B36" s="26" t="inlineStr">
        <is>
          <t>Rs cr</t>
        </is>
      </c>
      <c r="C36" s="51">
        <f>C7-(C19-C17)</f>
        <v/>
      </c>
      <c r="D36" s="51">
        <f>D7-(D19-D17)</f>
        <v/>
      </c>
      <c r="E36" s="51">
        <f>E7-(E19-E17)</f>
        <v/>
      </c>
      <c r="F36" s="51">
        <f>F7-(F19-F17)</f>
        <v/>
      </c>
      <c r="G36" s="51">
        <f>G7-(G19-G17)</f>
        <v/>
      </c>
      <c r="H36" s="51">
        <f>H7-(H19-H17)</f>
        <v/>
      </c>
      <c r="I36" s="51">
        <f>I7-(I19-I17)</f>
        <v/>
      </c>
      <c r="J36" s="51">
        <f>J7-(J19-J17)</f>
        <v/>
      </c>
    </row>
    <row r="37">
      <c r="A37" s="6" t="inlineStr">
        <is>
          <t>Operating margin</t>
        </is>
      </c>
      <c r="B37" s="26" t="inlineStr">
        <is>
          <t>%</t>
        </is>
      </c>
      <c r="C37" s="33">
        <f>C36/C7</f>
        <v/>
      </c>
      <c r="D37" s="33">
        <f>D36/D7</f>
        <v/>
      </c>
      <c r="E37" s="33">
        <f>E36/E7</f>
        <v/>
      </c>
      <c r="F37" s="33">
        <f>F36/F7</f>
        <v/>
      </c>
      <c r="G37" s="33">
        <f>G36/G7</f>
        <v/>
      </c>
      <c r="H37" s="33">
        <f>H36/H7</f>
        <v/>
      </c>
      <c r="I37" s="33">
        <f>I36/I7</f>
        <v/>
      </c>
      <c r="J37" s="33">
        <f>J36/J7</f>
        <v/>
      </c>
    </row>
    <row r="38">
      <c r="A38" s="8" t="inlineStr">
        <is>
          <t>EBITDA (operating profit + D&amp;A; excl. other income)</t>
        </is>
      </c>
      <c r="B38" s="26" t="inlineStr">
        <is>
          <t>Rs cr</t>
        </is>
      </c>
      <c r="C38" s="45">
        <f>C36+C16</f>
        <v/>
      </c>
      <c r="D38" s="45">
        <f>D36+D16</f>
        <v/>
      </c>
      <c r="E38" s="45">
        <f>E36+E16</f>
        <v/>
      </c>
      <c r="F38" s="45">
        <f>F36+F16</f>
        <v/>
      </c>
      <c r="G38" s="45">
        <f>G36+G16</f>
        <v/>
      </c>
      <c r="H38" s="45">
        <f>H36+H16</f>
        <v/>
      </c>
      <c r="I38" s="45">
        <f>I36+I16</f>
        <v/>
      </c>
      <c r="J38" s="45">
        <f>J36+J16</f>
        <v/>
      </c>
    </row>
    <row r="39">
      <c r="A39" s="8" t="inlineStr">
        <is>
          <t>EBITDA margin</t>
        </is>
      </c>
      <c r="B39" s="26" t="inlineStr">
        <is>
          <t>%</t>
        </is>
      </c>
      <c r="C39" s="44">
        <f>C38/C7</f>
        <v/>
      </c>
      <c r="D39" s="44">
        <f>D38/D7</f>
        <v/>
      </c>
      <c r="E39" s="44">
        <f>E38/E7</f>
        <v/>
      </c>
      <c r="F39" s="44">
        <f>F38/F7</f>
        <v/>
      </c>
      <c r="G39" s="44">
        <f>G38/G7</f>
        <v/>
      </c>
      <c r="H39" s="44">
        <f>H38/H7</f>
        <v/>
      </c>
      <c r="I39" s="44">
        <f>I38/I7</f>
        <v/>
      </c>
      <c r="J39" s="44">
        <f>J38/J7</f>
        <v/>
      </c>
    </row>
    <row r="40">
      <c r="A40" s="8" t="inlineStr">
        <is>
          <t>Revenue growth (INR)</t>
        </is>
      </c>
      <c r="B40" s="26" t="inlineStr">
        <is>
          <t>%</t>
        </is>
      </c>
      <c r="D40" s="44">
        <f>D7/C7-1</f>
        <v/>
      </c>
      <c r="E40" s="44">
        <f>E7/D7-1</f>
        <v/>
      </c>
      <c r="F40" s="44">
        <f>F7/E7-1</f>
        <v/>
      </c>
      <c r="G40" s="44">
        <f>G7/F7-1</f>
        <v/>
      </c>
      <c r="H40" s="44">
        <f>H7/G7-1</f>
        <v/>
      </c>
      <c r="I40" s="44">
        <f>I7/H7-1</f>
        <v/>
      </c>
      <c r="J40" s="44">
        <f>J7/I7-1</f>
        <v/>
      </c>
    </row>
    <row r="41">
      <c r="A41" s="8" t="inlineStr">
        <is>
          <t>Net profit growth</t>
        </is>
      </c>
      <c r="B41" s="26" t="inlineStr">
        <is>
          <t>%</t>
        </is>
      </c>
      <c r="D41" s="44">
        <f>D24/C24-1</f>
        <v/>
      </c>
      <c r="E41" s="44">
        <f>E24/D24-1</f>
        <v/>
      </c>
      <c r="F41" s="44">
        <f>F24/E24-1</f>
        <v/>
      </c>
      <c r="G41" s="44">
        <f>G24/F24-1</f>
        <v/>
      </c>
      <c r="H41" s="44">
        <f>H24/G24-1</f>
        <v/>
      </c>
      <c r="I41" s="44">
        <f>I24/H24-1</f>
        <v/>
      </c>
      <c r="J41" s="44">
        <f>J24/I24-1</f>
        <v/>
      </c>
    </row>
    <row r="42">
      <c r="A42" s="8" t="inlineStr">
        <is>
          <t>Net profit margin</t>
        </is>
      </c>
      <c r="B42" s="26" t="inlineStr">
        <is>
          <t>%</t>
        </is>
      </c>
      <c r="C42" s="44">
        <f>C24/C7</f>
        <v/>
      </c>
      <c r="D42" s="44">
        <f>D24/D7</f>
        <v/>
      </c>
      <c r="E42" s="44">
        <f>E24/E7</f>
        <v/>
      </c>
      <c r="F42" s="44">
        <f>F24/F7</f>
        <v/>
      </c>
      <c r="G42" s="44">
        <f>G24/G7</f>
        <v/>
      </c>
      <c r="H42" s="44">
        <f>H24/H7</f>
        <v/>
      </c>
      <c r="I42" s="44">
        <f>I24/I7</f>
        <v/>
      </c>
      <c r="J42" s="44">
        <f>J24/J7</f>
        <v/>
      </c>
    </row>
    <row r="43">
      <c r="A43" s="8" t="inlineStr">
        <is>
          <t>Dividend payout, % of owners profit</t>
        </is>
      </c>
      <c r="B43" s="26" t="inlineStr">
        <is>
          <t>%</t>
        </is>
      </c>
      <c r="F43" s="13">
        <f>Sched!F41/F26</f>
        <v/>
      </c>
      <c r="G43" s="13">
        <f>Sched!G41/G26</f>
        <v/>
      </c>
      <c r="H43" s="13">
        <f>Sched!H41/H26</f>
        <v/>
      </c>
      <c r="I43" s="13">
        <f>Sched!I41/I26</f>
        <v/>
      </c>
      <c r="J43" s="13">
        <f>Sched!J41/J26</f>
        <v/>
      </c>
    </row>
    <row r="44">
      <c r="A44" s="8" t="inlineStr">
        <is>
          <t>Revenue per average head (Rs lakh)</t>
        </is>
      </c>
      <c r="B44" s="26" t="inlineStr">
        <is>
          <t>Rs lakh</t>
        </is>
      </c>
      <c r="E44" s="9">
        <f>Segments!E52</f>
        <v/>
      </c>
      <c r="F44" s="9">
        <f>Segments!F87</f>
        <v/>
      </c>
      <c r="G44" s="9">
        <f>Segments!G87</f>
        <v/>
      </c>
      <c r="H44" s="9">
        <f>Segments!H87</f>
        <v/>
      </c>
      <c r="I44" s="9">
        <f>Segments!I87</f>
        <v/>
      </c>
      <c r="J44" s="9">
        <f>Segments!J87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L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Consolidated Balance Sheet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CONSOLIDATED BALANCE SHEET  (Rs crore, Ind AS)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42" t="inlineStr">
        <is>
          <t>Non-current assets</t>
        </is>
      </c>
    </row>
    <row r="8">
      <c r="A8" s="8" t="inlineStr">
        <is>
          <t>Property, plant and equipment</t>
        </is>
      </c>
      <c r="B8" s="26" t="inlineStr">
        <is>
          <t>Rs cr</t>
        </is>
      </c>
      <c r="C8" s="40" t="n">
        <v>13346</v>
      </c>
      <c r="D8" s="40" t="n">
        <v>12370</v>
      </c>
      <c r="E8" s="40" t="n">
        <v>11778</v>
      </c>
      <c r="F8" s="11">
        <f>Sched!F17</f>
        <v/>
      </c>
      <c r="G8" s="11">
        <f>Sched!G17</f>
        <v/>
      </c>
      <c r="H8" s="11">
        <f>Sched!H17</f>
        <v/>
      </c>
      <c r="I8" s="11">
        <f>Sched!I17</f>
        <v/>
      </c>
      <c r="J8" s="11">
        <f>Sched!J17</f>
        <v/>
      </c>
    </row>
    <row r="9">
      <c r="A9" s="8" t="inlineStr">
        <is>
          <t>Right-of-use assets</t>
        </is>
      </c>
      <c r="B9" s="26" t="inlineStr">
        <is>
          <t>Rs cr</t>
        </is>
      </c>
      <c r="C9" s="40" t="n">
        <v>6882</v>
      </c>
      <c r="D9" s="40" t="n">
        <v>6552</v>
      </c>
      <c r="E9" s="40" t="n">
        <v>6311</v>
      </c>
      <c r="F9" s="11">
        <f>Sched!F22</f>
        <v/>
      </c>
      <c r="G9" s="11">
        <f>Sched!G22</f>
        <v/>
      </c>
      <c r="H9" s="11">
        <f>Sched!H22</f>
        <v/>
      </c>
      <c r="I9" s="11">
        <f>Sched!I22</f>
        <v/>
      </c>
      <c r="J9" s="11">
        <f>Sched!J22</f>
        <v/>
      </c>
    </row>
    <row r="10">
      <c r="A10" s="8" t="inlineStr">
        <is>
          <t>Capital work-in-progress</t>
        </is>
      </c>
      <c r="B10" s="26" t="inlineStr">
        <is>
          <t>Rs cr</t>
        </is>
      </c>
      <c r="C10" s="40" t="n">
        <v>288</v>
      </c>
      <c r="D10" s="40" t="n">
        <v>293</v>
      </c>
      <c r="E10" s="40" t="n">
        <v>814</v>
      </c>
      <c r="F10" s="45">
        <f>E10</f>
        <v/>
      </c>
      <c r="G10" s="45">
        <f>F10</f>
        <v/>
      </c>
      <c r="H10" s="45">
        <f>G10</f>
        <v/>
      </c>
      <c r="I10" s="45">
        <f>H10</f>
        <v/>
      </c>
      <c r="J10" s="45">
        <f>I10</f>
        <v/>
      </c>
    </row>
    <row r="11">
      <c r="A11" s="8" t="inlineStr">
        <is>
          <t>Goodwill</t>
        </is>
      </c>
      <c r="B11" s="26" t="inlineStr">
        <is>
          <t>Rs cr</t>
        </is>
      </c>
      <c r="C11" s="40" t="n">
        <v>7248</v>
      </c>
      <c r="D11" s="40" t="n">
        <v>7303</v>
      </c>
      <c r="E11" s="40" t="n">
        <v>10106</v>
      </c>
      <c r="F11" s="45">
        <f>E11</f>
        <v/>
      </c>
      <c r="G11" s="45">
        <f>F11</f>
        <v/>
      </c>
      <c r="H11" s="45">
        <f>G11</f>
        <v/>
      </c>
      <c r="I11" s="45">
        <f>H11</f>
        <v/>
      </c>
      <c r="J11" s="45">
        <f>I11</f>
        <v/>
      </c>
    </row>
    <row r="12">
      <c r="A12" s="8" t="inlineStr">
        <is>
          <t>Other intangible assets</t>
        </is>
      </c>
      <c r="B12" s="26" t="inlineStr">
        <is>
          <t>Rs cr</t>
        </is>
      </c>
      <c r="C12" s="40" t="n">
        <v>1749</v>
      </c>
      <c r="D12" s="40" t="n">
        <v>1397</v>
      </c>
      <c r="E12" s="40" t="n">
        <v>2766</v>
      </c>
      <c r="F12" s="11">
        <f>Sched!F27</f>
        <v/>
      </c>
      <c r="G12" s="11">
        <f>Sched!G27</f>
        <v/>
      </c>
      <c r="H12" s="11">
        <f>Sched!H27</f>
        <v/>
      </c>
      <c r="I12" s="11">
        <f>Sched!I27</f>
        <v/>
      </c>
      <c r="J12" s="11">
        <f>Sched!J27</f>
        <v/>
      </c>
    </row>
    <row r="13">
      <c r="A13" s="8" t="inlineStr">
        <is>
          <t>Investments (non-current)</t>
        </is>
      </c>
      <c r="B13" s="26" t="inlineStr">
        <is>
          <t>Rs cr</t>
        </is>
      </c>
      <c r="C13" s="40" t="n">
        <v>12569</v>
      </c>
      <c r="D13" s="40" t="n">
        <v>11708</v>
      </c>
      <c r="E13" s="40" t="n">
        <v>11059</v>
      </c>
      <c r="F13" s="45">
        <f>E13</f>
        <v/>
      </c>
      <c r="G13" s="45">
        <f>F13</f>
        <v/>
      </c>
      <c r="H13" s="45">
        <f>G13</f>
        <v/>
      </c>
      <c r="I13" s="45">
        <f>H13</f>
        <v/>
      </c>
      <c r="J13" s="45">
        <f>I13</f>
        <v/>
      </c>
    </row>
    <row r="14">
      <c r="A14" s="8" t="inlineStr">
        <is>
          <t>Loans (non-current)</t>
        </is>
      </c>
      <c r="B14" s="26" t="inlineStr">
        <is>
          <t>Rs cr</t>
        </is>
      </c>
      <c r="C14" s="40" t="n">
        <v>39</v>
      </c>
      <c r="D14" s="40" t="n">
        <v>34</v>
      </c>
      <c r="E14" s="40" t="n">
        <v>16</v>
      </c>
      <c r="F14" s="45">
        <f>E14</f>
        <v/>
      </c>
      <c r="G14" s="45">
        <f>F14</f>
        <v/>
      </c>
      <c r="H14" s="45">
        <f>G14</f>
        <v/>
      </c>
      <c r="I14" s="45">
        <f>H14</f>
        <v/>
      </c>
      <c r="J14" s="45">
        <f>I14</f>
        <v/>
      </c>
    </row>
    <row r="15">
      <c r="A15" s="8" t="inlineStr">
        <is>
          <t>Other financial assets (non-current)</t>
        </is>
      </c>
      <c r="B15" s="26" t="inlineStr">
        <is>
          <t>Rs cr</t>
        </is>
      </c>
      <c r="C15" s="40" t="n">
        <v>2798</v>
      </c>
      <c r="D15" s="40" t="n">
        <v>3105</v>
      </c>
      <c r="E15" s="40" t="n">
        <v>3511</v>
      </c>
      <c r="F15" s="45">
        <f>E15</f>
        <v/>
      </c>
      <c r="G15" s="45">
        <f>F15</f>
        <v/>
      </c>
      <c r="H15" s="45">
        <f>G15</f>
        <v/>
      </c>
      <c r="I15" s="45">
        <f>H15</f>
        <v/>
      </c>
      <c r="J15" s="45">
        <f>I15</f>
        <v/>
      </c>
    </row>
    <row r="16">
      <c r="A16" s="8" t="inlineStr">
        <is>
          <t>Deferred tax assets (net)</t>
        </is>
      </c>
      <c r="B16" s="26" t="inlineStr">
        <is>
          <t>Rs cr</t>
        </is>
      </c>
      <c r="C16" s="40" t="n">
        <v>1245</v>
      </c>
      <c r="D16" s="40" t="n">
        <v>454</v>
      </c>
      <c r="E16" s="40" t="n">
        <v>1108</v>
      </c>
      <c r="F16" s="45">
        <f>E16</f>
        <v/>
      </c>
      <c r="G16" s="45">
        <f>F16</f>
        <v/>
      </c>
      <c r="H16" s="45">
        <f>G16</f>
        <v/>
      </c>
      <c r="I16" s="45">
        <f>H16</f>
        <v/>
      </c>
      <c r="J16" s="45">
        <f>I16</f>
        <v/>
      </c>
    </row>
    <row r="17">
      <c r="A17" s="8" t="inlineStr">
        <is>
          <t>Income tax assets (net, non-current)</t>
        </is>
      </c>
      <c r="B17" s="26" t="inlineStr">
        <is>
          <t>Rs cr</t>
        </is>
      </c>
      <c r="C17" s="40" t="n">
        <v>6453</v>
      </c>
      <c r="D17" s="40" t="n">
        <v>3045</v>
      </c>
      <c r="E17" s="40" t="n">
        <v>1622</v>
      </c>
      <c r="F17" s="45">
        <f>E17</f>
        <v/>
      </c>
      <c r="G17" s="45">
        <f>F17</f>
        <v/>
      </c>
      <c r="H17" s="45">
        <f>G17</f>
        <v/>
      </c>
      <c r="I17" s="45">
        <f>H17</f>
        <v/>
      </c>
      <c r="J17" s="45">
        <f>I17</f>
        <v/>
      </c>
    </row>
    <row r="18">
      <c r="A18" s="8" t="inlineStr">
        <is>
          <t>Other non-current assets</t>
        </is>
      </c>
      <c r="B18" s="26" t="inlineStr">
        <is>
          <t>Rs cr</t>
        </is>
      </c>
      <c r="C18" s="40" t="n">
        <v>2318</v>
      </c>
      <c r="D18" s="40" t="n">
        <v>2121</v>
      </c>
      <c r="E18" s="40" t="n">
        <v>2713</v>
      </c>
      <c r="F18" s="45">
        <f>E18</f>
        <v/>
      </c>
      <c r="G18" s="45">
        <f>F18</f>
        <v/>
      </c>
      <c r="H18" s="45">
        <f>G18</f>
        <v/>
      </c>
      <c r="I18" s="45">
        <f>H18</f>
        <v/>
      </c>
      <c r="J18" s="45">
        <f>I18</f>
        <v/>
      </c>
    </row>
    <row r="19">
      <c r="A19" s="6" t="inlineStr">
        <is>
          <t>Total non-current assets</t>
        </is>
      </c>
      <c r="B19" s="26" t="inlineStr">
        <is>
          <t>Rs cr</t>
        </is>
      </c>
      <c r="C19" s="43">
        <f>SUM(C8:C18)</f>
        <v/>
      </c>
      <c r="D19" s="43">
        <f>SUM(D8:D18)</f>
        <v/>
      </c>
      <c r="E19" s="43">
        <f>SUM(E8:E18)</f>
        <v/>
      </c>
      <c r="F19" s="43">
        <f>SUM(F8:F18)</f>
        <v/>
      </c>
      <c r="G19" s="43">
        <f>SUM(G8:G18)</f>
        <v/>
      </c>
      <c r="H19" s="43">
        <f>SUM(H8:H18)</f>
        <v/>
      </c>
      <c r="I19" s="43">
        <f>SUM(I8:I18)</f>
        <v/>
      </c>
      <c r="J19" s="43">
        <f>SUM(J8:J18)</f>
        <v/>
      </c>
    </row>
    <row r="20">
      <c r="A20" s="42" t="inlineStr">
        <is>
          <t>Current assets</t>
        </is>
      </c>
    </row>
    <row r="21">
      <c r="A21" s="8" t="inlineStr">
        <is>
          <t>Investments (current)</t>
        </is>
      </c>
      <c r="B21" s="26" t="inlineStr">
        <is>
          <t>Rs cr</t>
        </is>
      </c>
      <c r="C21" s="40" t="n">
        <v>6909</v>
      </c>
      <c r="D21" s="40" t="n">
        <v>12915</v>
      </c>
      <c r="E21" s="40" t="n">
        <v>12482</v>
      </c>
      <c r="F21" s="45">
        <f>E21</f>
        <v/>
      </c>
      <c r="G21" s="45">
        <f>F21</f>
        <v/>
      </c>
      <c r="H21" s="45">
        <f>G21</f>
        <v/>
      </c>
      <c r="I21" s="45">
        <f>H21</f>
        <v/>
      </c>
      <c r="J21" s="45">
        <f>I21</f>
        <v/>
      </c>
    </row>
    <row r="22">
      <c r="A22" s="8" t="inlineStr">
        <is>
          <t>Trade receivables</t>
        </is>
      </c>
      <c r="B22" s="26" t="inlineStr">
        <is>
          <t>Rs cr</t>
        </is>
      </c>
      <c r="C22" s="40" t="n">
        <v>25424</v>
      </c>
      <c r="D22" s="40" t="n">
        <v>30193</v>
      </c>
      <c r="E22" s="40" t="n">
        <v>31158</v>
      </c>
      <c r="F22" s="11">
        <f>IS!F7*Inputs!F58</f>
        <v/>
      </c>
      <c r="G22" s="11">
        <f>IS!G7*Inputs!G58</f>
        <v/>
      </c>
      <c r="H22" s="11">
        <f>IS!H7*Inputs!H58</f>
        <v/>
      </c>
      <c r="I22" s="11">
        <f>IS!I7*Inputs!I58</f>
        <v/>
      </c>
      <c r="J22" s="11">
        <f>IS!J7*Inputs!J58</f>
        <v/>
      </c>
    </row>
    <row r="23">
      <c r="A23" s="6" t="inlineStr">
        <is>
          <t>Cash and cash equivalents</t>
        </is>
      </c>
      <c r="B23" s="26" t="inlineStr">
        <is>
          <t>Rs cr</t>
        </is>
      </c>
      <c r="C23" s="53" t="n">
        <v>12173</v>
      </c>
      <c r="D23" s="53" t="n">
        <v>14786</v>
      </c>
      <c r="E23" s="53" t="n">
        <v>24455</v>
      </c>
      <c r="F23" s="50">
        <f>E23+CF!F45+CF!F46</f>
        <v/>
      </c>
      <c r="G23" s="50">
        <f>F23+CF!G45+CF!G46</f>
        <v/>
      </c>
      <c r="H23" s="50">
        <f>G23+CF!H45+CF!H46</f>
        <v/>
      </c>
      <c r="I23" s="50">
        <f>H23+CF!I45+CF!I46</f>
        <v/>
      </c>
      <c r="J23" s="50">
        <f>I23+CF!J45+CF!J46</f>
        <v/>
      </c>
    </row>
    <row r="24">
      <c r="A24" s="8" t="inlineStr">
        <is>
          <t>Loans (current)</t>
        </is>
      </c>
      <c r="B24" s="26" t="inlineStr">
        <is>
          <t>Rs cr</t>
        </is>
      </c>
      <c r="C24" s="40" t="n">
        <v>289</v>
      </c>
      <c r="D24" s="40" t="n">
        <v>248</v>
      </c>
      <c r="E24" s="40" t="n">
        <v>249</v>
      </c>
      <c r="F24" s="45">
        <f>E24</f>
        <v/>
      </c>
      <c r="G24" s="45">
        <f>F24</f>
        <v/>
      </c>
      <c r="H24" s="45">
        <f>G24</f>
        <v/>
      </c>
      <c r="I24" s="45">
        <f>H24</f>
        <v/>
      </c>
      <c r="J24" s="45">
        <f>I24</f>
        <v/>
      </c>
    </row>
    <row r="25">
      <c r="A25" s="8" t="inlineStr">
        <is>
          <t>Other financial assets (current)</t>
        </is>
      </c>
      <c r="B25" s="26" t="inlineStr">
        <is>
          <t>Rs cr</t>
        </is>
      </c>
      <c r="C25" s="40" t="n">
        <v>11604</v>
      </c>
      <c r="D25" s="40" t="n">
        <v>12085</v>
      </c>
      <c r="E25" s="40" t="n">
        <v>13840</v>
      </c>
      <c r="F25" s="11">
        <f>IS!F7*Inputs!F59</f>
        <v/>
      </c>
      <c r="G25" s="11">
        <f>IS!G7*Inputs!G59</f>
        <v/>
      </c>
      <c r="H25" s="11">
        <f>IS!H7*Inputs!H59</f>
        <v/>
      </c>
      <c r="I25" s="11">
        <f>IS!I7*Inputs!I59</f>
        <v/>
      </c>
      <c r="J25" s="11">
        <f>IS!J7*Inputs!J59</f>
        <v/>
      </c>
    </row>
    <row r="26">
      <c r="A26" s="8" t="inlineStr">
        <is>
          <t>Income tax assets (net, current)</t>
        </is>
      </c>
      <c r="B26" s="26" t="inlineStr">
        <is>
          <t>Rs cr</t>
        </is>
      </c>
      <c r="C26" s="40" t="n">
        <v>6</v>
      </c>
      <c r="D26" s="40" t="n">
        <v>6397</v>
      </c>
      <c r="E26" s="40" t="n">
        <v>2975</v>
      </c>
      <c r="F26" s="45">
        <f>E26</f>
        <v/>
      </c>
      <c r="G26" s="45">
        <f>F26</f>
        <v/>
      </c>
      <c r="H26" s="45">
        <f>G26</f>
        <v/>
      </c>
      <c r="I26" s="45">
        <f>H26</f>
        <v/>
      </c>
      <c r="J26" s="45">
        <f>I26</f>
        <v/>
      </c>
    </row>
    <row r="27">
      <c r="A27" s="8" t="inlineStr">
        <is>
          <t>Other current assets</t>
        </is>
      </c>
      <c r="B27" s="26" t="inlineStr">
        <is>
          <t>Rs cr</t>
        </is>
      </c>
      <c r="C27" s="40" t="n">
        <v>14476</v>
      </c>
      <c r="D27" s="40" t="n">
        <v>12808</v>
      </c>
      <c r="E27" s="40" t="n">
        <v>11940</v>
      </c>
      <c r="F27" s="11">
        <f>IS!F7*Inputs!F60</f>
        <v/>
      </c>
      <c r="G27" s="11">
        <f>IS!G7*Inputs!G60</f>
        <v/>
      </c>
      <c r="H27" s="11">
        <f>IS!H7*Inputs!H60</f>
        <v/>
      </c>
      <c r="I27" s="11">
        <f>IS!I7*Inputs!I60</f>
        <v/>
      </c>
      <c r="J27" s="11">
        <f>IS!J7*Inputs!J60</f>
        <v/>
      </c>
    </row>
    <row r="28">
      <c r="A28" s="6" t="inlineStr">
        <is>
          <t>Total current assets</t>
        </is>
      </c>
      <c r="B28" s="26" t="inlineStr">
        <is>
          <t>Rs cr</t>
        </is>
      </c>
      <c r="C28" s="43">
        <f>SUM(C21:C27)</f>
        <v/>
      </c>
      <c r="D28" s="43">
        <f>SUM(D21:D27)</f>
        <v/>
      </c>
      <c r="E28" s="43">
        <f>SUM(E21:E27)</f>
        <v/>
      </c>
      <c r="F28" s="43">
        <f>SUM(F21:F27)</f>
        <v/>
      </c>
      <c r="G28" s="43">
        <f>SUM(G21:G27)</f>
        <v/>
      </c>
      <c r="H28" s="43">
        <f>SUM(H21:H27)</f>
        <v/>
      </c>
      <c r="I28" s="43">
        <f>SUM(I21:I27)</f>
        <v/>
      </c>
      <c r="J28" s="43">
        <f>SUM(J21:J27)</f>
        <v/>
      </c>
    </row>
    <row r="29">
      <c r="A29" s="6" t="inlineStr">
        <is>
          <t>TOTAL ASSETS</t>
        </is>
      </c>
      <c r="B29" s="26" t="inlineStr">
        <is>
          <t>Rs cr</t>
        </is>
      </c>
      <c r="C29" s="43">
        <f>C19+C28</f>
        <v/>
      </c>
      <c r="D29" s="43">
        <f>D19+D28</f>
        <v/>
      </c>
      <c r="E29" s="43">
        <f>E19+E28</f>
        <v/>
      </c>
      <c r="F29" s="43">
        <f>F19+F28</f>
        <v/>
      </c>
      <c r="G29" s="43">
        <f>G19+G28</f>
        <v/>
      </c>
      <c r="H29" s="43">
        <f>H19+H28</f>
        <v/>
      </c>
      <c r="I29" s="43">
        <f>I19+I28</f>
        <v/>
      </c>
      <c r="J29" s="43">
        <f>J19+J28</f>
        <v/>
      </c>
    </row>
    <row r="31">
      <c r="A31" s="42" t="inlineStr">
        <is>
          <t>Equity</t>
        </is>
      </c>
    </row>
    <row r="32">
      <c r="A32" s="8" t="inlineStr">
        <is>
          <t>Equity share capital</t>
        </is>
      </c>
      <c r="B32" s="26" t="inlineStr">
        <is>
          <t>Rs cr</t>
        </is>
      </c>
      <c r="C32" s="40" t="n">
        <v>2069</v>
      </c>
      <c r="D32" s="40" t="n">
        <v>2071</v>
      </c>
      <c r="E32" s="40" t="n">
        <v>2073</v>
      </c>
      <c r="F32" s="45">
        <f>E32</f>
        <v/>
      </c>
      <c r="G32" s="45">
        <f>F32</f>
        <v/>
      </c>
      <c r="H32" s="45">
        <f>G32</f>
        <v/>
      </c>
      <c r="I32" s="45">
        <f>H32</f>
        <v/>
      </c>
      <c r="J32" s="45">
        <f>I32</f>
        <v/>
      </c>
    </row>
    <row r="33">
      <c r="A33" s="8" t="inlineStr">
        <is>
          <t>Other equity</t>
        </is>
      </c>
      <c r="B33" s="26" t="inlineStr">
        <is>
          <t>Rs cr</t>
        </is>
      </c>
      <c r="C33" s="40" t="n">
        <v>73338</v>
      </c>
      <c r="D33" s="40" t="n">
        <v>86045</v>
      </c>
      <c r="E33" s="40" t="n">
        <v>93745</v>
      </c>
      <c r="F33" s="11">
        <f>E33+IS!F26+CF!F15-Sched!F41</f>
        <v/>
      </c>
      <c r="G33" s="11">
        <f>F33+IS!G26+CF!G15-Sched!G41</f>
        <v/>
      </c>
      <c r="H33" s="11">
        <f>G33+IS!H26+CF!H15-Sched!H41</f>
        <v/>
      </c>
      <c r="I33" s="11">
        <f>H33+IS!I26+CF!I15-Sched!I41</f>
        <v/>
      </c>
      <c r="J33" s="11">
        <f>I33+IS!J26+CF!J15-Sched!J41</f>
        <v/>
      </c>
    </row>
    <row r="34">
      <c r="A34" s="6" t="inlineStr">
        <is>
          <t>Equity attributable to equity holders of the Company</t>
        </is>
      </c>
      <c r="B34" s="26" t="inlineStr">
        <is>
          <t>Rs cr</t>
        </is>
      </c>
      <c r="C34" s="43">
        <f>C32+C33</f>
        <v/>
      </c>
      <c r="D34" s="43">
        <f>D32+D33</f>
        <v/>
      </c>
      <c r="E34" s="43">
        <f>E32+E33</f>
        <v/>
      </c>
      <c r="F34" s="43">
        <f>F32+F33</f>
        <v/>
      </c>
      <c r="G34" s="43">
        <f>G32+G33</f>
        <v/>
      </c>
      <c r="H34" s="43">
        <f>H32+H33</f>
        <v/>
      </c>
      <c r="I34" s="43">
        <f>I32+I33</f>
        <v/>
      </c>
      <c r="J34" s="43">
        <f>J32+J33</f>
        <v/>
      </c>
    </row>
    <row r="35">
      <c r="A35" s="8" t="inlineStr">
        <is>
          <t>Non-controlling interests</t>
        </is>
      </c>
      <c r="B35" s="26" t="inlineStr">
        <is>
          <t>Rs cr</t>
        </is>
      </c>
      <c r="C35" s="40" t="n">
        <v>388</v>
      </c>
      <c r="D35" s="40" t="n">
        <v>345</v>
      </c>
      <c r="E35" s="40" t="n">
        <v>385</v>
      </c>
      <c r="F35" s="11">
        <f>E35+IS!F25-Sched!F42</f>
        <v/>
      </c>
      <c r="G35" s="11">
        <f>F35+IS!G25-Sched!G42</f>
        <v/>
      </c>
      <c r="H35" s="11">
        <f>G35+IS!H25-Sched!H42</f>
        <v/>
      </c>
      <c r="I35" s="11">
        <f>H35+IS!I25-Sched!I42</f>
        <v/>
      </c>
      <c r="J35" s="11">
        <f>I35+IS!J25-Sched!J42</f>
        <v/>
      </c>
    </row>
    <row r="36">
      <c r="A36" s="6" t="inlineStr">
        <is>
          <t>Total equity</t>
        </is>
      </c>
      <c r="B36" s="26" t="inlineStr">
        <is>
          <t>Rs cr</t>
        </is>
      </c>
      <c r="C36" s="43">
        <f>C34+C35</f>
        <v/>
      </c>
      <c r="D36" s="43">
        <f>D34+D35</f>
        <v/>
      </c>
      <c r="E36" s="43">
        <f>E34+E35</f>
        <v/>
      </c>
      <c r="F36" s="43">
        <f>F34+F35</f>
        <v/>
      </c>
      <c r="G36" s="43">
        <f>G34+G35</f>
        <v/>
      </c>
      <c r="H36" s="43">
        <f>H34+H35</f>
        <v/>
      </c>
      <c r="I36" s="43">
        <f>I34+I35</f>
        <v/>
      </c>
      <c r="J36" s="43">
        <f>J34+J35</f>
        <v/>
      </c>
    </row>
    <row r="37">
      <c r="A37" s="42" t="inlineStr">
        <is>
          <t>Non-current liabilities</t>
        </is>
      </c>
    </row>
    <row r="38">
      <c r="A38" s="8" t="inlineStr">
        <is>
          <t>Lease liabilities (non-current)</t>
        </is>
      </c>
      <c r="B38" s="26" t="inlineStr">
        <is>
          <t>Rs cr</t>
        </is>
      </c>
      <c r="C38" s="40" t="n">
        <v>7057</v>
      </c>
      <c r="D38" s="40" t="n">
        <v>6400</v>
      </c>
      <c r="E38" s="40" t="n">
        <v>5772</v>
      </c>
      <c r="F38" s="11">
        <f>Sched!F38</f>
        <v/>
      </c>
      <c r="G38" s="11">
        <f>Sched!G38</f>
        <v/>
      </c>
      <c r="H38" s="11">
        <f>Sched!H38</f>
        <v/>
      </c>
      <c r="I38" s="11">
        <f>Sched!I38</f>
        <v/>
      </c>
      <c r="J38" s="11">
        <f>Sched!J38</f>
        <v/>
      </c>
    </row>
    <row r="39">
      <c r="A39" s="8" t="inlineStr">
        <is>
          <t>Other financial liabilities (non-current)</t>
        </is>
      </c>
      <c r="B39" s="26" t="inlineStr">
        <is>
          <t>Rs cr</t>
        </is>
      </c>
      <c r="C39" s="40" t="n">
        <v>2058</v>
      </c>
      <c r="D39" s="40" t="n">
        <v>2130</v>
      </c>
      <c r="E39" s="40" t="n">
        <v>2141</v>
      </c>
      <c r="F39" s="45">
        <f>E39</f>
        <v/>
      </c>
      <c r="G39" s="45">
        <f>F39</f>
        <v/>
      </c>
      <c r="H39" s="45">
        <f>G39</f>
        <v/>
      </c>
      <c r="I39" s="45">
        <f>H39</f>
        <v/>
      </c>
      <c r="J39" s="45">
        <f>I39</f>
        <v/>
      </c>
    </row>
    <row r="40">
      <c r="A40" s="8" t="inlineStr">
        <is>
          <t>Deferred tax liabilities (net)</t>
        </is>
      </c>
      <c r="B40" s="26" t="inlineStr">
        <is>
          <t>Rs cr</t>
        </is>
      </c>
      <c r="C40" s="40" t="n">
        <v>1220</v>
      </c>
      <c r="D40" s="40" t="n">
        <v>1794</v>
      </c>
      <c r="E40" s="40" t="n">
        <v>1722</v>
      </c>
      <c r="F40" s="45">
        <f>E40</f>
        <v/>
      </c>
      <c r="G40" s="45">
        <f>F40</f>
        <v/>
      </c>
      <c r="H40" s="45">
        <f>G40</f>
        <v/>
      </c>
      <c r="I40" s="45">
        <f>H40</f>
        <v/>
      </c>
      <c r="J40" s="45">
        <f>I40</f>
        <v/>
      </c>
    </row>
    <row r="41">
      <c r="A41" s="8" t="inlineStr">
        <is>
          <t>Other non-current liabilities</t>
        </is>
      </c>
      <c r="B41" s="26" t="inlineStr">
        <is>
          <t>Rs cr</t>
        </is>
      </c>
      <c r="C41" s="40" t="n">
        <v>500</v>
      </c>
      <c r="D41" s="40" t="n">
        <v>235</v>
      </c>
      <c r="E41" s="40" t="n">
        <v>215</v>
      </c>
      <c r="F41" s="45">
        <f>E41</f>
        <v/>
      </c>
      <c r="G41" s="45">
        <f>F41</f>
        <v/>
      </c>
      <c r="H41" s="45">
        <f>G41</f>
        <v/>
      </c>
      <c r="I41" s="45">
        <f>H41</f>
        <v/>
      </c>
      <c r="J41" s="45">
        <f>I41</f>
        <v/>
      </c>
    </row>
    <row r="42">
      <c r="A42" s="6" t="inlineStr">
        <is>
          <t>Total non-current liabilities</t>
        </is>
      </c>
      <c r="B42" s="26" t="inlineStr">
        <is>
          <t>Rs cr</t>
        </is>
      </c>
      <c r="C42" s="43">
        <f>SUM(C38:C41)</f>
        <v/>
      </c>
      <c r="D42" s="43">
        <f>SUM(D38:D41)</f>
        <v/>
      </c>
      <c r="E42" s="43">
        <f>SUM(E38:E41)</f>
        <v/>
      </c>
      <c r="F42" s="43">
        <f>SUM(F38:F41)</f>
        <v/>
      </c>
      <c r="G42" s="43">
        <f>SUM(G38:G41)</f>
        <v/>
      </c>
      <c r="H42" s="43">
        <f>SUM(H38:H41)</f>
        <v/>
      </c>
      <c r="I42" s="43">
        <f>SUM(I38:I41)</f>
        <v/>
      </c>
      <c r="J42" s="43">
        <f>SUM(J38:J41)</f>
        <v/>
      </c>
    </row>
    <row r="43">
      <c r="A43" s="42" t="inlineStr">
        <is>
          <t>Current liabilities</t>
        </is>
      </c>
    </row>
    <row r="44">
      <c r="A44" s="8" t="inlineStr">
        <is>
          <t>Lease liabilities (current)</t>
        </is>
      </c>
      <c r="B44" s="26" t="inlineStr">
        <is>
          <t>Rs cr</t>
        </is>
      </c>
      <c r="C44" s="40" t="n">
        <v>1242</v>
      </c>
      <c r="D44" s="40" t="n">
        <v>1959</v>
      </c>
      <c r="E44" s="40" t="n">
        <v>2455</v>
      </c>
      <c r="F44" s="11">
        <f>Sched!F37</f>
        <v/>
      </c>
      <c r="G44" s="11">
        <f>Sched!G37</f>
        <v/>
      </c>
      <c r="H44" s="11">
        <f>Sched!H37</f>
        <v/>
      </c>
      <c r="I44" s="11">
        <f>Sched!I37</f>
        <v/>
      </c>
      <c r="J44" s="11">
        <f>Sched!J37</f>
        <v/>
      </c>
    </row>
    <row r="45">
      <c r="A45" s="8" t="inlineStr">
        <is>
          <t>Trade payables</t>
        </is>
      </c>
      <c r="B45" s="26" t="inlineStr">
        <is>
          <t>Rs cr</t>
        </is>
      </c>
      <c r="C45" s="40" t="n">
        <v>3865</v>
      </c>
      <c r="D45" s="40" t="n">
        <v>3956</v>
      </c>
      <c r="E45" s="40" t="n">
        <v>4164</v>
      </c>
      <c r="F45" s="11">
        <f>IS!F7*Inputs!F61</f>
        <v/>
      </c>
      <c r="G45" s="11">
        <f>IS!G7*Inputs!G61</f>
        <v/>
      </c>
      <c r="H45" s="11">
        <f>IS!H7*Inputs!H61</f>
        <v/>
      </c>
      <c r="I45" s="11">
        <f>IS!I7*Inputs!I61</f>
        <v/>
      </c>
      <c r="J45" s="11">
        <f>IS!J7*Inputs!J61</f>
        <v/>
      </c>
    </row>
    <row r="46">
      <c r="A46" s="8" t="inlineStr">
        <is>
          <t>Other financial liabilities (current)</t>
        </is>
      </c>
      <c r="B46" s="26" t="inlineStr">
        <is>
          <t>Rs cr</t>
        </is>
      </c>
      <c r="C46" s="40" t="n">
        <v>18558</v>
      </c>
      <c r="D46" s="40" t="n">
        <v>16959</v>
      </c>
      <c r="E46" s="40" t="n">
        <v>18138</v>
      </c>
      <c r="F46" s="11">
        <f>IS!F7*Inputs!F62</f>
        <v/>
      </c>
      <c r="G46" s="11">
        <f>IS!G7*Inputs!G62</f>
        <v/>
      </c>
      <c r="H46" s="11">
        <f>IS!H7*Inputs!H62</f>
        <v/>
      </c>
      <c r="I46" s="11">
        <f>IS!I7*Inputs!I62</f>
        <v/>
      </c>
      <c r="J46" s="11">
        <f>IS!J7*Inputs!J62</f>
        <v/>
      </c>
    </row>
    <row r="47">
      <c r="A47" s="8" t="inlineStr">
        <is>
          <t>Other current liabilities</t>
        </is>
      </c>
      <c r="B47" s="26" t="inlineStr">
        <is>
          <t>Rs cr</t>
        </is>
      </c>
      <c r="C47" s="40" t="n">
        <v>10830</v>
      </c>
      <c r="D47" s="40" t="n">
        <v>10539</v>
      </c>
      <c r="E47" s="40" t="n">
        <v>11765</v>
      </c>
      <c r="F47" s="11">
        <f>IS!F7*Inputs!F63</f>
        <v/>
      </c>
      <c r="G47" s="11">
        <f>IS!G7*Inputs!G63</f>
        <v/>
      </c>
      <c r="H47" s="11">
        <f>IS!H7*Inputs!H63</f>
        <v/>
      </c>
      <c r="I47" s="11">
        <f>IS!I7*Inputs!I63</f>
        <v/>
      </c>
      <c r="J47" s="11">
        <f>IS!J7*Inputs!J63</f>
        <v/>
      </c>
    </row>
    <row r="48">
      <c r="A48" s="8" t="inlineStr">
        <is>
          <t>Provisions</t>
        </is>
      </c>
      <c r="B48" s="26" t="inlineStr">
        <is>
          <t>Rs cr</t>
        </is>
      </c>
      <c r="C48" s="40" t="n">
        <v>1307</v>
      </c>
      <c r="D48" s="40" t="n">
        <v>1796</v>
      </c>
      <c r="E48" s="40" t="n">
        <v>1475</v>
      </c>
      <c r="F48" s="11">
        <f>IS!F7*Inputs!F64</f>
        <v/>
      </c>
      <c r="G48" s="11">
        <f>IS!G7*Inputs!G64</f>
        <v/>
      </c>
      <c r="H48" s="11">
        <f>IS!H7*Inputs!H64</f>
        <v/>
      </c>
      <c r="I48" s="11">
        <f>IS!I7*Inputs!I64</f>
        <v/>
      </c>
      <c r="J48" s="11">
        <f>IS!J7*Inputs!J64</f>
        <v/>
      </c>
    </row>
    <row r="49">
      <c r="A49" s="8" t="inlineStr">
        <is>
          <t>Income tax liabilities (net)</t>
        </is>
      </c>
      <c r="B49" s="26" t="inlineStr">
        <is>
          <t>Rs cr</t>
        </is>
      </c>
      <c r="C49" s="40" t="n">
        <v>3384</v>
      </c>
      <c r="D49" s="40" t="n">
        <v>3585</v>
      </c>
      <c r="E49" s="40" t="n">
        <v>4853</v>
      </c>
      <c r="F49" s="45">
        <f>E49</f>
        <v/>
      </c>
      <c r="G49" s="45">
        <f>F49</f>
        <v/>
      </c>
      <c r="H49" s="45">
        <f>G49</f>
        <v/>
      </c>
      <c r="I49" s="45">
        <f>H49</f>
        <v/>
      </c>
      <c r="J49" s="45">
        <f>I49</f>
        <v/>
      </c>
    </row>
    <row r="50">
      <c r="A50" s="6" t="inlineStr">
        <is>
          <t>Total current liabilities</t>
        </is>
      </c>
      <c r="B50" s="26" t="inlineStr">
        <is>
          <t>Rs cr</t>
        </is>
      </c>
      <c r="C50" s="43">
        <f>SUM(C44:C49)</f>
        <v/>
      </c>
      <c r="D50" s="43">
        <f>SUM(D44:D49)</f>
        <v/>
      </c>
      <c r="E50" s="43">
        <f>SUM(E44:E49)</f>
        <v/>
      </c>
      <c r="F50" s="43">
        <f>SUM(F44:F49)</f>
        <v/>
      </c>
      <c r="G50" s="43">
        <f>SUM(G44:G49)</f>
        <v/>
      </c>
      <c r="H50" s="43">
        <f>SUM(H44:H49)</f>
        <v/>
      </c>
      <c r="I50" s="43">
        <f>SUM(I44:I49)</f>
        <v/>
      </c>
      <c r="J50" s="43">
        <f>SUM(J44:J49)</f>
        <v/>
      </c>
    </row>
    <row r="51">
      <c r="A51" s="6" t="inlineStr">
        <is>
          <t>Total liabilities</t>
        </is>
      </c>
      <c r="B51" s="26" t="inlineStr">
        <is>
          <t>Rs cr</t>
        </is>
      </c>
      <c r="C51" s="51">
        <f>C42+C50</f>
        <v/>
      </c>
      <c r="D51" s="51">
        <f>D42+D50</f>
        <v/>
      </c>
      <c r="E51" s="51">
        <f>E42+E50</f>
        <v/>
      </c>
      <c r="F51" s="51">
        <f>F42+F50</f>
        <v/>
      </c>
      <c r="G51" s="51">
        <f>G42+G50</f>
        <v/>
      </c>
      <c r="H51" s="51">
        <f>H42+H50</f>
        <v/>
      </c>
      <c r="I51" s="51">
        <f>I42+I50</f>
        <v/>
      </c>
      <c r="J51" s="51">
        <f>J42+J50</f>
        <v/>
      </c>
    </row>
    <row r="52">
      <c r="A52" s="6" t="inlineStr">
        <is>
          <t>TOTAL EQUITY AND LIABILITIES</t>
        </is>
      </c>
      <c r="B52" s="26" t="inlineStr">
        <is>
          <t>Rs cr</t>
        </is>
      </c>
      <c r="C52" s="43">
        <f>C36+C51</f>
        <v/>
      </c>
      <c r="D52" s="43">
        <f>D36+D51</f>
        <v/>
      </c>
      <c r="E52" s="43">
        <f>E36+E51</f>
        <v/>
      </c>
      <c r="F52" s="43">
        <f>F36+F51</f>
        <v/>
      </c>
      <c r="G52" s="43">
        <f>G36+G51</f>
        <v/>
      </c>
      <c r="H52" s="43">
        <f>H36+H51</f>
        <v/>
      </c>
      <c r="I52" s="43">
        <f>I36+I51</f>
        <v/>
      </c>
      <c r="J52" s="43">
        <f>J36+J51</f>
        <v/>
      </c>
    </row>
    <row r="53">
      <c r="A53" s="48" t="inlineStr">
        <is>
          <t>Balance check (assets - equity &amp; liabilities)</t>
        </is>
      </c>
      <c r="B53" s="26" t="inlineStr">
        <is>
          <t>Rs cr</t>
        </is>
      </c>
      <c r="C53" s="55">
        <f>ROUND(C29-C52,0)</f>
        <v/>
      </c>
      <c r="D53" s="55">
        <f>ROUND(D29-D52,0)</f>
        <v/>
      </c>
      <c r="E53" s="55">
        <f>ROUND(E29-E52,0)</f>
        <v/>
      </c>
      <c r="F53" s="55">
        <f>ROUND(F29-F52,0)</f>
        <v/>
      </c>
      <c r="G53" s="55">
        <f>ROUND(G29-G52,0)</f>
        <v/>
      </c>
      <c r="H53" s="55">
        <f>ROUND(H29-H52,0)</f>
        <v/>
      </c>
      <c r="I53" s="55">
        <f>ROUND(I29-I52,0)</f>
        <v/>
      </c>
      <c r="J53" s="55">
        <f>ROUND(J29-J52,0)</f>
        <v/>
      </c>
    </row>
    <row r="55">
      <c r="A55" s="42" t="inlineStr">
        <is>
          <t>Memo: liquidity, leverage and returns</t>
        </is>
      </c>
    </row>
    <row r="56">
      <c r="A56" s="6" t="inlineStr">
        <is>
          <t>Cash + current and non-current investments</t>
        </is>
      </c>
      <c r="B56" s="26" t="inlineStr">
        <is>
          <t>Rs cr</t>
        </is>
      </c>
      <c r="C56" s="51">
        <f>C23+C21+C13</f>
        <v/>
      </c>
      <c r="D56" s="51">
        <f>D23+D21+D13</f>
        <v/>
      </c>
      <c r="E56" s="51">
        <f>E23+E21+E13</f>
        <v/>
      </c>
      <c r="F56" s="51">
        <f>F23+F21+F13</f>
        <v/>
      </c>
      <c r="G56" s="51">
        <f>G23+G21+G13</f>
        <v/>
      </c>
      <c r="H56" s="51">
        <f>H23+H21+H13</f>
        <v/>
      </c>
      <c r="I56" s="51">
        <f>I23+I21+I13</f>
        <v/>
      </c>
      <c r="J56" s="51">
        <f>J23+J21+J13</f>
        <v/>
      </c>
      <c r="L56" s="28" t="inlineStr">
        <is>
          <t>Company-defined "cash and investments" Rs47,549 crore at FY25 excludes ~Rs447 crore of equity / preference holdings.</t>
        </is>
      </c>
    </row>
    <row r="57">
      <c r="A57" s="8" t="inlineStr">
        <is>
          <t>Total lease liabilities</t>
        </is>
      </c>
      <c r="B57" s="26" t="inlineStr">
        <is>
          <t>Rs cr</t>
        </is>
      </c>
      <c r="C57" s="45">
        <f>C38+C44</f>
        <v/>
      </c>
      <c r="D57" s="45">
        <f>D38+D44</f>
        <v/>
      </c>
      <c r="E57" s="45">
        <f>E38+E44</f>
        <v/>
      </c>
      <c r="F57" s="45">
        <f>F38+F44</f>
        <v/>
      </c>
      <c r="G57" s="45">
        <f>G38+G44</f>
        <v/>
      </c>
      <c r="H57" s="45">
        <f>H38+H44</f>
        <v/>
      </c>
      <c r="I57" s="45">
        <f>I38+I44</f>
        <v/>
      </c>
      <c r="J57" s="45">
        <f>J38+J44</f>
        <v/>
      </c>
    </row>
    <row r="58">
      <c r="A58" s="8" t="inlineStr">
        <is>
          <t>Net debt / (net cash) incl. leases</t>
        </is>
      </c>
      <c r="B58" s="26" t="inlineStr">
        <is>
          <t>Rs cr</t>
        </is>
      </c>
      <c r="C58" s="45">
        <f>C57-C56</f>
        <v/>
      </c>
      <c r="D58" s="45">
        <f>D57-D56</f>
        <v/>
      </c>
      <c r="E58" s="45">
        <f>E57-E56</f>
        <v/>
      </c>
      <c r="F58" s="45">
        <f>F57-F56</f>
        <v/>
      </c>
      <c r="G58" s="45">
        <f>G57-G56</f>
        <v/>
      </c>
      <c r="H58" s="45">
        <f>H57-H56</f>
        <v/>
      </c>
      <c r="I58" s="45">
        <f>I57-I56</f>
        <v/>
      </c>
      <c r="J58" s="45">
        <f>J57-J56</f>
        <v/>
      </c>
      <c r="L58" s="28" t="inlineStr">
        <is>
          <t>Negative = net cash. Infosys has no borrowings.</t>
        </is>
      </c>
    </row>
    <row r="59">
      <c r="A59" s="8" t="inlineStr">
        <is>
          <t>Return on equity (owners profit / average owners equity)</t>
        </is>
      </c>
      <c r="B59" s="26" t="inlineStr">
        <is>
          <t>%</t>
        </is>
      </c>
      <c r="D59" s="13">
        <f>IS!D26/AVERAGE(C34,D34)</f>
        <v/>
      </c>
      <c r="E59" s="13">
        <f>IS!E26/AVERAGE(D34,E34)</f>
        <v/>
      </c>
      <c r="F59" s="13">
        <f>IS!F26/AVERAGE(E34,F34)</f>
        <v/>
      </c>
      <c r="G59" s="13">
        <f>IS!G26/AVERAGE(F34,G34)</f>
        <v/>
      </c>
      <c r="H59" s="13">
        <f>IS!H26/AVERAGE(G34,H34)</f>
        <v/>
      </c>
      <c r="I59" s="13">
        <f>IS!I26/AVERAGE(H34,I34)</f>
        <v/>
      </c>
      <c r="J59" s="13">
        <f>IS!J26/AVERAGE(I34,J34)</f>
        <v/>
      </c>
    </row>
    <row r="60">
      <c r="A60" s="8" t="inlineStr">
        <is>
          <t>ROCE = operating profit / (equity + leases)</t>
        </is>
      </c>
      <c r="B60" s="26" t="inlineStr">
        <is>
          <t>%</t>
        </is>
      </c>
      <c r="C60" s="13">
        <f>IS!C36/(C36+C57)</f>
        <v/>
      </c>
      <c r="D60" s="13">
        <f>IS!D36/(D36+D57)</f>
        <v/>
      </c>
      <c r="E60" s="13">
        <f>IS!E36/(E36+E57)</f>
        <v/>
      </c>
      <c r="F60" s="13">
        <f>IS!F36/(F36+F57)</f>
        <v/>
      </c>
      <c r="G60" s="13">
        <f>IS!G36/(G36+G57)</f>
        <v/>
      </c>
      <c r="H60" s="13">
        <f>IS!H36/(H36+H57)</f>
        <v/>
      </c>
      <c r="I60" s="13">
        <f>IS!I36/(I36+I57)</f>
        <v/>
      </c>
      <c r="J60" s="13">
        <f>IS!J36/(J36+J57)</f>
        <v/>
      </c>
    </row>
    <row r="61">
      <c r="A61" s="8" t="inlineStr">
        <is>
          <t>Cash &amp; investments as % of total assets</t>
        </is>
      </c>
      <c r="B61" s="26" t="inlineStr">
        <is>
          <t>%</t>
        </is>
      </c>
      <c r="C61" s="44">
        <f>C56/C29</f>
        <v/>
      </c>
      <c r="D61" s="44">
        <f>D56/D29</f>
        <v/>
      </c>
      <c r="E61" s="44">
        <f>E56/E29</f>
        <v/>
      </c>
      <c r="F61" s="44">
        <f>F56/F29</f>
        <v/>
      </c>
      <c r="G61" s="44">
        <f>G56/G29</f>
        <v/>
      </c>
      <c r="H61" s="44">
        <f>H56/H29</f>
        <v/>
      </c>
      <c r="I61" s="44">
        <f>I56/I29</f>
        <v/>
      </c>
      <c r="J61" s="44">
        <f>J56/J29</f>
        <v/>
      </c>
    </row>
    <row r="62">
      <c r="A62" s="8" t="inlineStr">
        <is>
          <t>Days sales outstanding (trade receivables + unbilled approx.: receivables / revenue x 365)</t>
        </is>
      </c>
      <c r="B62" s="26" t="inlineStr">
        <is>
          <t>days</t>
        </is>
      </c>
      <c r="C62" s="56">
        <f>C22/IS!C7*365</f>
        <v/>
      </c>
      <c r="D62" s="56">
        <f>D22/IS!D7*365</f>
        <v/>
      </c>
      <c r="E62" s="56">
        <f>E22/IS!E7*365</f>
        <v/>
      </c>
      <c r="F62" s="56">
        <f>F22/IS!F7*365</f>
        <v/>
      </c>
      <c r="G62" s="56">
        <f>G22/IS!G7*365</f>
        <v/>
      </c>
      <c r="H62" s="56">
        <f>H22/IS!H7*365</f>
        <v/>
      </c>
      <c r="I62" s="56">
        <f>I22/IS!I7*365</f>
        <v/>
      </c>
      <c r="J62" s="56">
        <f>J22/IS!J7*365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Consolidated Cash Flow Statement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CONSOLIDATED STATEMENT OF CASH FLOWS  (Rs crore, indirect method - Ind AS 7)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42" t="inlineStr">
        <is>
          <t>Cash flow from operating activities</t>
        </is>
      </c>
    </row>
    <row r="8">
      <c r="A8" s="6" t="inlineStr">
        <is>
          <t>Profit for the year</t>
        </is>
      </c>
      <c r="B8" s="26" t="inlineStr">
        <is>
          <t>Rs cr</t>
        </is>
      </c>
      <c r="C8" s="53" t="n">
        <v>24108</v>
      </c>
      <c r="D8" s="53" t="n">
        <v>26248</v>
      </c>
      <c r="E8" s="53" t="n">
        <v>26750</v>
      </c>
      <c r="F8" s="50">
        <f>IS!F24</f>
        <v/>
      </c>
      <c r="G8" s="50">
        <f>IS!G24</f>
        <v/>
      </c>
      <c r="H8" s="50">
        <f>IS!H24</f>
        <v/>
      </c>
      <c r="I8" s="50">
        <f>IS!I24</f>
        <v/>
      </c>
      <c r="J8" s="50">
        <f>IS!J24</f>
        <v/>
      </c>
    </row>
    <row r="9">
      <c r="A9" s="8" t="inlineStr">
        <is>
          <t>Income tax expense</t>
        </is>
      </c>
      <c r="B9" s="26" t="inlineStr">
        <is>
          <t>Rs cr</t>
        </is>
      </c>
      <c r="C9" s="40" t="n">
        <v>9214</v>
      </c>
      <c r="D9" s="40" t="n">
        <v>9740</v>
      </c>
      <c r="E9" s="40" t="n">
        <v>10858</v>
      </c>
      <c r="F9" s="11">
        <f>IS!F23</f>
        <v/>
      </c>
      <c r="G9" s="11">
        <f>IS!G23</f>
        <v/>
      </c>
      <c r="H9" s="11">
        <f>IS!H23</f>
        <v/>
      </c>
      <c r="I9" s="11">
        <f>IS!I23</f>
        <v/>
      </c>
      <c r="J9" s="11">
        <f>IS!J23</f>
        <v/>
      </c>
    </row>
    <row r="10">
      <c r="A10" s="8" t="inlineStr">
        <is>
          <t>Depreciation and amortization</t>
        </is>
      </c>
      <c r="B10" s="26" t="inlineStr">
        <is>
          <t>Rs cr</t>
        </is>
      </c>
      <c r="C10" s="40" t="n">
        <v>4225</v>
      </c>
      <c r="D10" s="40" t="n">
        <v>4678</v>
      </c>
      <c r="E10" s="40" t="n">
        <v>4812</v>
      </c>
      <c r="F10" s="11">
        <f>IS!F16</f>
        <v/>
      </c>
      <c r="G10" s="11">
        <f>IS!G16</f>
        <v/>
      </c>
      <c r="H10" s="11">
        <f>IS!H16</f>
        <v/>
      </c>
      <c r="I10" s="11">
        <f>IS!I16</f>
        <v/>
      </c>
      <c r="J10" s="11">
        <f>IS!J16</f>
        <v/>
      </c>
    </row>
    <row r="11">
      <c r="A11" s="8" t="inlineStr">
        <is>
          <t>Interest and dividend income</t>
        </is>
      </c>
      <c r="B11" s="26" t="inlineStr">
        <is>
          <t>Rs cr</t>
        </is>
      </c>
      <c r="C11" s="40" t="n">
        <v>-1817</v>
      </c>
      <c r="D11" s="40" t="n">
        <v>-2067</v>
      </c>
      <c r="E11" s="40" t="n">
        <v>-2570</v>
      </c>
      <c r="F11" s="40" t="n">
        <v>0</v>
      </c>
      <c r="G11" s="40" t="n">
        <v>0</v>
      </c>
      <c r="H11" s="40" t="n">
        <v>0</v>
      </c>
      <c r="I11" s="40" t="n">
        <v>0</v>
      </c>
      <c r="J11" s="40" t="n">
        <v>0</v>
      </c>
      <c r="L11" s="28" t="inlineStr">
        <is>
          <t>Forecast keeps other income inside operating cash flow.</t>
        </is>
      </c>
    </row>
    <row r="12">
      <c r="A12" s="8" t="inlineStr">
        <is>
          <t>Finance cost</t>
        </is>
      </c>
      <c r="B12" s="26" t="inlineStr">
        <is>
          <t>Rs cr</t>
        </is>
      </c>
      <c r="C12" s="40" t="n">
        <v>284</v>
      </c>
      <c r="D12" s="40" t="n">
        <v>470</v>
      </c>
      <c r="E12" s="40" t="n">
        <v>416</v>
      </c>
      <c r="F12" s="11">
        <f>IS!F17</f>
        <v/>
      </c>
      <c r="G12" s="11">
        <f>IS!G17</f>
        <v/>
      </c>
      <c r="H12" s="11">
        <f>IS!H17</f>
        <v/>
      </c>
      <c r="I12" s="11">
        <f>IS!I17</f>
        <v/>
      </c>
      <c r="J12" s="11">
        <f>IS!J17</f>
        <v/>
      </c>
    </row>
    <row r="13">
      <c r="A13" s="8" t="inlineStr">
        <is>
          <t>Impairment loss recognised under expected credit loss model</t>
        </is>
      </c>
      <c r="B13" s="26" t="inlineStr">
        <is>
          <t>Rs cr</t>
        </is>
      </c>
      <c r="C13" s="40" t="n">
        <v>283</v>
      </c>
      <c r="D13" s="40" t="n">
        <v>121</v>
      </c>
      <c r="E13" s="40" t="n">
        <v>48</v>
      </c>
      <c r="F13" s="40" t="n">
        <v>0</v>
      </c>
      <c r="G13" s="40" t="n">
        <v>0</v>
      </c>
      <c r="H13" s="40" t="n">
        <v>0</v>
      </c>
      <c r="I13" s="40" t="n">
        <v>0</v>
      </c>
      <c r="J13" s="40" t="n">
        <v>0</v>
      </c>
    </row>
    <row r="14">
      <c r="A14" s="8" t="inlineStr">
        <is>
          <t>Exchange differences on translation of assets and liabilities</t>
        </is>
      </c>
      <c r="B14" s="26" t="inlineStr">
        <is>
          <t>Rs cr</t>
        </is>
      </c>
      <c r="C14" s="40" t="n">
        <v>161</v>
      </c>
      <c r="D14" s="40" t="n">
        <v>76</v>
      </c>
      <c r="E14" s="40" t="n">
        <v>79</v>
      </c>
      <c r="F14" s="40" t="n">
        <v>0</v>
      </c>
      <c r="G14" s="40" t="n">
        <v>0</v>
      </c>
      <c r="H14" s="40" t="n">
        <v>0</v>
      </c>
      <c r="I14" s="40" t="n">
        <v>0</v>
      </c>
      <c r="J14" s="40" t="n">
        <v>0</v>
      </c>
    </row>
    <row r="15">
      <c r="A15" s="8" t="inlineStr">
        <is>
          <t>Stock compensation expense</t>
        </is>
      </c>
      <c r="B15" s="26" t="inlineStr">
        <is>
          <t>Rs cr</t>
        </is>
      </c>
      <c r="C15" s="40" t="n">
        <v>519</v>
      </c>
      <c r="D15" s="40" t="n">
        <v>652</v>
      </c>
      <c r="E15" s="40" t="n">
        <v>802</v>
      </c>
      <c r="F15" s="11">
        <f>Inputs!F40*IS!F7</f>
        <v/>
      </c>
      <c r="G15" s="11">
        <f>Inputs!G40*IS!G7</f>
        <v/>
      </c>
      <c r="H15" s="11">
        <f>Inputs!H40*IS!H7</f>
        <v/>
      </c>
      <c r="I15" s="11">
        <f>Inputs!I40*IS!I7</f>
        <v/>
      </c>
      <c r="J15" s="11">
        <f>Inputs!J40*IS!J7</f>
        <v/>
      </c>
    </row>
    <row r="16">
      <c r="A16" s="8" t="inlineStr">
        <is>
          <t>Interest receivable on income tax refund</t>
        </is>
      </c>
      <c r="B16" s="26" t="inlineStr">
        <is>
          <t>Rs cr</t>
        </is>
      </c>
      <c r="C16" s="40" t="n">
        <v>0</v>
      </c>
      <c r="D16" s="40" t="n">
        <v>-1934</v>
      </c>
      <c r="E16" s="40" t="n">
        <v>-327</v>
      </c>
      <c r="F16" s="40" t="n">
        <v>0</v>
      </c>
      <c r="G16" s="40" t="n">
        <v>0</v>
      </c>
      <c r="H16" s="40" t="n">
        <v>0</v>
      </c>
      <c r="I16" s="40" t="n">
        <v>0</v>
      </c>
      <c r="J16" s="40" t="n">
        <v>0</v>
      </c>
    </row>
    <row r="17">
      <c r="A17" s="8" t="inlineStr">
        <is>
          <t>Provision for post-sales client support</t>
        </is>
      </c>
      <c r="B17" s="26" t="inlineStr">
        <is>
          <t>Rs cr</t>
        </is>
      </c>
      <c r="C17" s="40" t="n">
        <v>120</v>
      </c>
      <c r="D17" s="40" t="n">
        <v>75</v>
      </c>
      <c r="E17" s="40" t="n">
        <v>-110</v>
      </c>
      <c r="F17" s="40" t="n">
        <v>0</v>
      </c>
      <c r="G17" s="40" t="n">
        <v>0</v>
      </c>
      <c r="H17" s="40" t="n">
        <v>0</v>
      </c>
      <c r="I17" s="40" t="n">
        <v>0</v>
      </c>
      <c r="J17" s="40" t="n">
        <v>0</v>
      </c>
    </row>
    <row r="18">
      <c r="A18" s="8" t="inlineStr">
        <is>
          <t>Other adjustments</t>
        </is>
      </c>
      <c r="B18" s="26" t="inlineStr">
        <is>
          <t>Rs cr</t>
        </is>
      </c>
      <c r="C18" s="40" t="n">
        <v>508</v>
      </c>
      <c r="D18" s="40" t="n">
        <v>1464</v>
      </c>
      <c r="E18" s="40" t="n">
        <v>833</v>
      </c>
      <c r="F18" s="40" t="n">
        <v>0</v>
      </c>
      <c r="G18" s="40" t="n">
        <v>0</v>
      </c>
      <c r="H18" s="40" t="n">
        <v>0</v>
      </c>
      <c r="I18" s="40" t="n">
        <v>0</v>
      </c>
      <c r="J18" s="40" t="n">
        <v>0</v>
      </c>
    </row>
    <row r="19">
      <c r="A19" s="8" t="inlineStr">
        <is>
          <t>Trade receivables and unbilled revenue</t>
        </is>
      </c>
      <c r="B19" s="26" t="inlineStr">
        <is>
          <t>Rs cr</t>
        </is>
      </c>
      <c r="C19" s="40" t="n">
        <v>-7076</v>
      </c>
      <c r="D19" s="40" t="n">
        <v>-2667</v>
      </c>
      <c r="E19" s="40" t="n">
        <v>-1769</v>
      </c>
      <c r="F19" s="11">
        <f>-(BS!F22-BS!E22)</f>
        <v/>
      </c>
      <c r="G19" s="11">
        <f>-(BS!G22-BS!F22)</f>
        <v/>
      </c>
      <c r="H19" s="11">
        <f>-(BS!H22-BS!G22)</f>
        <v/>
      </c>
      <c r="I19" s="11">
        <f>-(BS!I22-BS!H22)</f>
        <v/>
      </c>
      <c r="J19" s="11">
        <f>-(BS!J22-BS!I22)</f>
        <v/>
      </c>
    </row>
    <row r="20">
      <c r="A20" s="8" t="inlineStr">
        <is>
          <t>Loans, other financial assets and other assets</t>
        </is>
      </c>
      <c r="B20" s="26" t="inlineStr">
        <is>
          <t>Rs cr</t>
        </is>
      </c>
      <c r="C20" s="40" t="n">
        <v>-3108</v>
      </c>
      <c r="D20" s="40" t="n">
        <v>-1172</v>
      </c>
      <c r="E20" s="40" t="n">
        <v>-1024</v>
      </c>
      <c r="F20" s="11">
        <f>-((BS!F25+BS!F27)-(BS!E25+BS!E27))</f>
        <v/>
      </c>
      <c r="G20" s="11">
        <f>-((BS!G25+BS!G27)-(BS!F25+BS!F27))</f>
        <v/>
      </c>
      <c r="H20" s="11">
        <f>-((BS!H25+BS!H27)-(BS!G25+BS!G27))</f>
        <v/>
      </c>
      <c r="I20" s="11">
        <f>-((BS!I25+BS!I27)-(BS!H25+BS!H27))</f>
        <v/>
      </c>
      <c r="J20" s="11">
        <f>-((BS!J25+BS!J27)-(BS!I25+BS!I27))</f>
        <v/>
      </c>
    </row>
    <row r="21">
      <c r="A21" s="8" t="inlineStr">
        <is>
          <t>Trade payables</t>
        </is>
      </c>
      <c r="B21" s="26" t="inlineStr">
        <is>
          <t>Rs cr</t>
        </is>
      </c>
      <c r="C21" s="40" t="n">
        <v>-279</v>
      </c>
      <c r="D21" s="40" t="n">
        <v>91</v>
      </c>
      <c r="E21" s="40" t="n">
        <v>176</v>
      </c>
      <c r="F21" s="11">
        <f>BS!F45-BS!E45</f>
        <v/>
      </c>
      <c r="G21" s="11">
        <f>BS!G45-BS!F45</f>
        <v/>
      </c>
      <c r="H21" s="11">
        <f>BS!H45-BS!G45</f>
        <v/>
      </c>
      <c r="I21" s="11">
        <f>BS!I45-BS!H45</f>
        <v/>
      </c>
      <c r="J21" s="11">
        <f>BS!J45-BS!I45</f>
        <v/>
      </c>
    </row>
    <row r="22">
      <c r="A22" s="8" t="inlineStr">
        <is>
          <t>Other financial liabilities, other liabilities and provisions</t>
        </is>
      </c>
      <c r="B22" s="26" t="inlineStr">
        <is>
          <t>Rs cr</t>
        </is>
      </c>
      <c r="C22" s="40" t="n">
        <v>4119</v>
      </c>
      <c r="D22" s="40" t="n">
        <v>-1334</v>
      </c>
      <c r="E22" s="40" t="n">
        <v>2322</v>
      </c>
      <c r="F22" s="11">
        <f>(BS!F46+BS!F47+BS!F48)-(BS!E46+BS!E47+BS!E48)</f>
        <v/>
      </c>
      <c r="G22" s="11">
        <f>(BS!G46+BS!G47+BS!G48)-(BS!F46+BS!F47+BS!F48)</f>
        <v/>
      </c>
      <c r="H22" s="11">
        <f>(BS!H46+BS!H47+BS!H48)-(BS!G46+BS!G47+BS!G48)</f>
        <v/>
      </c>
      <c r="I22" s="11">
        <f>(BS!I46+BS!I47+BS!I48)-(BS!H46+BS!H47+BS!H48)</f>
        <v/>
      </c>
      <c r="J22" s="11">
        <f>(BS!J46+BS!J47+BS!J48)-(BS!I46+BS!I47+BS!I48)</f>
        <v/>
      </c>
    </row>
    <row r="23">
      <c r="A23" s="48" t="inlineStr">
        <is>
          <t>Net change in working capital</t>
        </is>
      </c>
      <c r="B23" s="26" t="inlineStr">
        <is>
          <t>Rs cr</t>
        </is>
      </c>
      <c r="C23" s="57">
        <f>SUM(C19:C22)</f>
        <v/>
      </c>
      <c r="D23" s="57">
        <f>SUM(D19:D22)</f>
        <v/>
      </c>
      <c r="E23" s="57">
        <f>SUM(E19:E22)</f>
        <v/>
      </c>
      <c r="F23" s="57">
        <f>SUM(F19:F22)</f>
        <v/>
      </c>
      <c r="G23" s="57">
        <f>SUM(G19:G22)</f>
        <v/>
      </c>
      <c r="H23" s="57">
        <f>SUM(H19:H22)</f>
        <v/>
      </c>
      <c r="I23" s="57">
        <f>SUM(I19:I22)</f>
        <v/>
      </c>
      <c r="J23" s="57">
        <f>SUM(J19:J22)</f>
        <v/>
      </c>
    </row>
    <row r="24">
      <c r="A24" s="6" t="inlineStr">
        <is>
          <t>Cash generated from operations</t>
        </is>
      </c>
      <c r="B24" s="26" t="inlineStr">
        <is>
          <t>Rs cr</t>
        </is>
      </c>
      <c r="C24" s="51">
        <f>SUM(C8:C18)+C23</f>
        <v/>
      </c>
      <c r="D24" s="51">
        <f>SUM(D8:D18)+D23</f>
        <v/>
      </c>
      <c r="E24" s="51">
        <f>SUM(E8:E18)+E23</f>
        <v/>
      </c>
      <c r="F24" s="51">
        <f>SUM(F8:F18)+F23</f>
        <v/>
      </c>
      <c r="G24" s="51">
        <f>SUM(G8:G18)+G23</f>
        <v/>
      </c>
      <c r="H24" s="51">
        <f>SUM(H8:H18)+H23</f>
        <v/>
      </c>
      <c r="I24" s="51">
        <f>SUM(I8:I18)+I23</f>
        <v/>
      </c>
      <c r="J24" s="51">
        <f>SUM(J8:J18)+J23</f>
        <v/>
      </c>
    </row>
    <row r="25">
      <c r="A25" s="8" t="inlineStr">
        <is>
          <t>Income taxes paid</t>
        </is>
      </c>
      <c r="B25" s="26" t="inlineStr">
        <is>
          <t>Rs cr</t>
        </is>
      </c>
      <c r="C25" s="40" t="n">
        <v>-8794</v>
      </c>
      <c r="D25" s="40" t="n">
        <v>-9231</v>
      </c>
      <c r="E25" s="40" t="n">
        <v>-5602</v>
      </c>
      <c r="F25" s="11">
        <f>-IS!F23</f>
        <v/>
      </c>
      <c r="G25" s="11">
        <f>-IS!G23</f>
        <v/>
      </c>
      <c r="H25" s="11">
        <f>-IS!H23</f>
        <v/>
      </c>
      <c r="I25" s="11">
        <f>-IS!I23</f>
        <v/>
      </c>
      <c r="J25" s="11">
        <f>-IS!J23</f>
        <v/>
      </c>
      <c r="L25" s="28" t="inlineStr">
        <is>
          <t>Historical cash taxes include large refunds in FY25 (Rs5.6k crore paid vs Rs10.9k crore expense).</t>
        </is>
      </c>
    </row>
    <row r="26">
      <c r="A26" s="6" t="inlineStr">
        <is>
          <t>NET CASH GENERATED BY OPERATING ACTIVITIES</t>
        </is>
      </c>
      <c r="B26" s="26" t="inlineStr">
        <is>
          <t>Rs cr</t>
        </is>
      </c>
      <c r="C26" s="43">
        <f>C24+C25</f>
        <v/>
      </c>
      <c r="D26" s="43">
        <f>D24+D25</f>
        <v/>
      </c>
      <c r="E26" s="43">
        <f>E24+E25</f>
        <v/>
      </c>
      <c r="F26" s="43">
        <f>F24+F25</f>
        <v/>
      </c>
      <c r="G26" s="43">
        <f>G24+G25</f>
        <v/>
      </c>
      <c r="H26" s="43">
        <f>H24+H25</f>
        <v/>
      </c>
      <c r="I26" s="43">
        <f>I24+I25</f>
        <v/>
      </c>
      <c r="J26" s="43">
        <f>J24+J25</f>
        <v/>
      </c>
    </row>
    <row r="27">
      <c r="A27" s="42" t="inlineStr">
        <is>
          <t>Cash flows from investing activities</t>
        </is>
      </c>
    </row>
    <row r="28">
      <c r="A28" s="8" t="inlineStr">
        <is>
          <t>Expenditure on property, plant and equipment and intangibles</t>
        </is>
      </c>
      <c r="B28" s="26" t="inlineStr">
        <is>
          <t>Rs cr</t>
        </is>
      </c>
      <c r="C28" s="40" t="n">
        <v>-2579</v>
      </c>
      <c r="D28" s="40" t="n">
        <v>-2201</v>
      </c>
      <c r="E28" s="40" t="n">
        <v>-2237</v>
      </c>
      <c r="F28" s="11">
        <f>-Sched!F7</f>
        <v/>
      </c>
      <c r="G28" s="11">
        <f>-Sched!G7</f>
        <v/>
      </c>
      <c r="H28" s="11">
        <f>-Sched!H7</f>
        <v/>
      </c>
      <c r="I28" s="11">
        <f>-Sched!I7</f>
        <v/>
      </c>
      <c r="J28" s="11">
        <f>-Sched!J7</f>
        <v/>
      </c>
    </row>
    <row r="29">
      <c r="A29" s="8" t="inlineStr">
        <is>
          <t>Deposits placed with corporation (net of redemptions)</t>
        </is>
      </c>
      <c r="B29" s="26" t="inlineStr">
        <is>
          <t>Rs cr</t>
        </is>
      </c>
      <c r="C29" s="40" t="n">
        <v>-234</v>
      </c>
      <c r="D29" s="40" t="n">
        <v>-137</v>
      </c>
      <c r="E29" s="40" t="n">
        <v>-449</v>
      </c>
      <c r="F29" s="40" t="n">
        <v>0</v>
      </c>
      <c r="G29" s="40" t="n">
        <v>0</v>
      </c>
      <c r="H29" s="40" t="n">
        <v>0</v>
      </c>
      <c r="I29" s="40" t="n">
        <v>0</v>
      </c>
      <c r="J29" s="40" t="n">
        <v>0</v>
      </c>
    </row>
    <row r="30">
      <c r="A30" s="8" t="inlineStr">
        <is>
          <t>Interest and dividend received</t>
        </is>
      </c>
      <c r="B30" s="26" t="inlineStr">
        <is>
          <t>Rs cr</t>
        </is>
      </c>
      <c r="C30" s="40" t="n">
        <v>1525</v>
      </c>
      <c r="D30" s="40" t="n">
        <v>1768</v>
      </c>
      <c r="E30" s="40" t="n">
        <v>2040</v>
      </c>
      <c r="F30" s="40" t="n">
        <v>0</v>
      </c>
      <c r="G30" s="40" t="n">
        <v>0</v>
      </c>
      <c r="H30" s="40" t="n">
        <v>0</v>
      </c>
      <c r="I30" s="40" t="n">
        <v>0</v>
      </c>
      <c r="J30" s="40" t="n">
        <v>0</v>
      </c>
    </row>
    <row r="31">
      <c r="A31" s="8" t="inlineStr">
        <is>
          <t>Acquisition of business (net of cash) incl. contingent consideration</t>
        </is>
      </c>
      <c r="B31" s="26" t="inlineStr">
        <is>
          <t>Rs cr</t>
        </is>
      </c>
      <c r="C31" s="40" t="n">
        <v>-970</v>
      </c>
      <c r="D31" s="40" t="n">
        <v>-101</v>
      </c>
      <c r="E31" s="40" t="n">
        <v>-3155</v>
      </c>
      <c r="F31" s="40" t="n">
        <v>0</v>
      </c>
      <c r="G31" s="40" t="n">
        <v>0</v>
      </c>
      <c r="H31" s="40" t="n">
        <v>0</v>
      </c>
      <c r="I31" s="40" t="n">
        <v>0</v>
      </c>
      <c r="J31" s="40" t="n">
        <v>0</v>
      </c>
      <c r="L31" s="28" t="inlineStr">
        <is>
          <t>FY25: in-tech Holding GmbH (Germany) acquisition. No acquisitions forecast.</t>
        </is>
      </c>
    </row>
    <row r="32">
      <c r="A32" s="8" t="inlineStr">
        <is>
          <t>Other receipts</t>
        </is>
      </c>
      <c r="B32" s="26" t="inlineStr">
        <is>
          <t>Rs cr</t>
        </is>
      </c>
      <c r="C32" s="40" t="n">
        <v>71</v>
      </c>
      <c r="D32" s="40" t="n">
        <v>128</v>
      </c>
      <c r="E32" s="40" t="n">
        <v>10</v>
      </c>
      <c r="F32" s="40" t="n">
        <v>0</v>
      </c>
      <c r="G32" s="40" t="n">
        <v>0</v>
      </c>
      <c r="H32" s="40" t="n">
        <v>0</v>
      </c>
      <c r="I32" s="40" t="n">
        <v>0</v>
      </c>
      <c r="J32" s="40" t="n">
        <v>0</v>
      </c>
    </row>
    <row r="33">
      <c r="A33" s="8" t="inlineStr">
        <is>
          <t>Net (purchase) / sale of investments</t>
        </is>
      </c>
      <c r="B33" s="26" t="inlineStr">
        <is>
          <t>Rs cr</t>
        </is>
      </c>
      <c r="C33" s="40" t="n">
        <v>978</v>
      </c>
      <c r="D33" s="40" t="n">
        <v>-4466</v>
      </c>
      <c r="E33" s="40" t="n">
        <v>1845</v>
      </c>
      <c r="F33" s="40" t="n">
        <v>0</v>
      </c>
      <c r="G33" s="40" t="n">
        <v>0</v>
      </c>
      <c r="H33" s="40" t="n">
        <v>0</v>
      </c>
      <c r="I33" s="40" t="n">
        <v>0</v>
      </c>
      <c r="J33" s="40" t="n">
        <v>0</v>
      </c>
      <c r="L33" s="28" t="inlineStr">
        <is>
          <t>Sum of purchases and sales of mutual funds, CDs, CPs, NCDs, G-secs. Held flat: surplus accumulates in cash.</t>
        </is>
      </c>
    </row>
    <row r="34">
      <c r="A34" s="6" t="inlineStr">
        <is>
          <t>NET CASH USED IN INVESTING ACTIVITIES</t>
        </is>
      </c>
      <c r="B34" s="26" t="inlineStr">
        <is>
          <t>Rs cr</t>
        </is>
      </c>
      <c r="C34" s="43">
        <f>SUM(C28:C33)</f>
        <v/>
      </c>
      <c r="D34" s="43">
        <f>SUM(D28:D33)</f>
        <v/>
      </c>
      <c r="E34" s="43">
        <f>SUM(E28:E33)</f>
        <v/>
      </c>
      <c r="F34" s="43">
        <f>SUM(F28:F33)</f>
        <v/>
      </c>
      <c r="G34" s="43">
        <f>SUM(G28:G33)</f>
        <v/>
      </c>
      <c r="H34" s="43">
        <f>SUM(H28:H33)</f>
        <v/>
      </c>
      <c r="I34" s="43">
        <f>SUM(I28:I33)</f>
        <v/>
      </c>
      <c r="J34" s="43">
        <f>SUM(J28:J33)</f>
        <v/>
      </c>
    </row>
    <row r="35">
      <c r="A35" s="42" t="inlineStr">
        <is>
          <t>Cash flows from financing activities</t>
        </is>
      </c>
    </row>
    <row r="36">
      <c r="A36" s="8" t="inlineStr">
        <is>
          <t>Payment of lease liabilities (principal + interest)</t>
        </is>
      </c>
      <c r="B36" s="26" t="inlineStr">
        <is>
          <t>Rs cr</t>
        </is>
      </c>
      <c r="C36" s="40" t="n">
        <v>-1231</v>
      </c>
      <c r="D36" s="40" t="n">
        <v>-2024</v>
      </c>
      <c r="E36" s="40" t="n">
        <v>-2355</v>
      </c>
      <c r="F36" s="11">
        <f>-Sched!F35</f>
        <v/>
      </c>
      <c r="G36" s="11">
        <f>-Sched!G35</f>
        <v/>
      </c>
      <c r="H36" s="11">
        <f>-Sched!H35</f>
        <v/>
      </c>
      <c r="I36" s="11">
        <f>-Sched!I35</f>
        <v/>
      </c>
      <c r="J36" s="11">
        <f>-Sched!J35</f>
        <v/>
      </c>
    </row>
    <row r="37">
      <c r="A37" s="8" t="inlineStr">
        <is>
          <t>Payment of dividends</t>
        </is>
      </c>
      <c r="B37" s="26" t="inlineStr">
        <is>
          <t>Rs cr</t>
        </is>
      </c>
      <c r="C37" s="40" t="n">
        <v>-13631</v>
      </c>
      <c r="D37" s="40" t="n">
        <v>-14692</v>
      </c>
      <c r="E37" s="40" t="n">
        <v>-20287</v>
      </c>
      <c r="F37" s="11">
        <f>-Sched!F41</f>
        <v/>
      </c>
      <c r="G37" s="11">
        <f>-Sched!G41</f>
        <v/>
      </c>
      <c r="H37" s="11">
        <f>-Sched!H41</f>
        <v/>
      </c>
      <c r="I37" s="11">
        <f>-Sched!I41</f>
        <v/>
      </c>
      <c r="J37" s="11">
        <f>-Sched!J41</f>
        <v/>
      </c>
    </row>
    <row r="38">
      <c r="A38" s="8" t="inlineStr">
        <is>
          <t>Payment of dividend to non-controlling interest</t>
        </is>
      </c>
      <c r="B38" s="26" t="inlineStr">
        <is>
          <t>Rs cr</t>
        </is>
      </c>
      <c r="C38" s="40" t="n">
        <v>-22</v>
      </c>
      <c r="D38" s="40" t="n">
        <v>-39</v>
      </c>
      <c r="E38" s="40" t="n">
        <v>-2</v>
      </c>
      <c r="F38" s="11">
        <f>-Sched!F42</f>
        <v/>
      </c>
      <c r="G38" s="11">
        <f>-Sched!G42</f>
        <v/>
      </c>
      <c r="H38" s="11">
        <f>-Sched!H42</f>
        <v/>
      </c>
      <c r="I38" s="11">
        <f>-Sched!I42</f>
        <v/>
      </c>
      <c r="J38" s="11">
        <f>-Sched!J42</f>
        <v/>
      </c>
    </row>
    <row r="39">
      <c r="A39" s="8" t="inlineStr">
        <is>
          <t>Buyback of equity shares incl. tax on buyback</t>
        </is>
      </c>
      <c r="B39" s="26" t="inlineStr">
        <is>
          <t>Rs cr</t>
        </is>
      </c>
      <c r="C39" s="40" t="n">
        <v>-11499</v>
      </c>
      <c r="D39" s="40" t="n">
        <v>0</v>
      </c>
      <c r="E39" s="40" t="n">
        <v>0</v>
      </c>
      <c r="F39" s="40" t="n">
        <v>0</v>
      </c>
      <c r="G39" s="40" t="n">
        <v>0</v>
      </c>
      <c r="H39" s="40" t="n">
        <v>0</v>
      </c>
      <c r="I39" s="40" t="n">
        <v>0</v>
      </c>
      <c r="J39" s="40" t="n">
        <v>0</v>
      </c>
      <c r="L39" s="28" t="inlineStr">
        <is>
          <t>FY23: Rs11,499 crore buyback. None forecast (the Sept-2025 buyback post-dates the valuation date).</t>
        </is>
      </c>
    </row>
    <row r="40">
      <c r="A40" s="8" t="inlineStr">
        <is>
          <t>Shares issued on exercise of employee stock options</t>
        </is>
      </c>
      <c r="B40" s="26" t="inlineStr">
        <is>
          <t>Rs cr</t>
        </is>
      </c>
      <c r="C40" s="40" t="n">
        <v>35</v>
      </c>
      <c r="D40" s="40" t="n">
        <v>5</v>
      </c>
      <c r="E40" s="40" t="n">
        <v>6</v>
      </c>
      <c r="F40" s="40" t="n">
        <v>0</v>
      </c>
      <c r="G40" s="40" t="n">
        <v>0</v>
      </c>
      <c r="H40" s="40" t="n">
        <v>0</v>
      </c>
      <c r="I40" s="40" t="n">
        <v>0</v>
      </c>
      <c r="J40" s="40" t="n">
        <v>0</v>
      </c>
    </row>
    <row r="41">
      <c r="A41" s="8" t="inlineStr">
        <is>
          <t>Loan repayment of in-tech Holding GmbH</t>
        </is>
      </c>
      <c r="B41" s="26" t="inlineStr">
        <is>
          <t>Rs cr</t>
        </is>
      </c>
      <c r="C41" s="40" t="n">
        <v>0</v>
      </c>
      <c r="D41" s="40" t="n">
        <v>0</v>
      </c>
      <c r="E41" s="40" t="n">
        <v>-985</v>
      </c>
      <c r="F41" s="40" t="n">
        <v>0</v>
      </c>
      <c r="G41" s="40" t="n">
        <v>0</v>
      </c>
      <c r="H41" s="40" t="n">
        <v>0</v>
      </c>
      <c r="I41" s="40" t="n">
        <v>0</v>
      </c>
      <c r="J41" s="40" t="n">
        <v>0</v>
      </c>
    </row>
    <row r="42">
      <c r="A42" s="8" t="inlineStr">
        <is>
          <t>Buyback of shares of subsidiary from non-controlling interest</t>
        </is>
      </c>
      <c r="B42" s="26" t="inlineStr">
        <is>
          <t>Rs cr</t>
        </is>
      </c>
      <c r="C42" s="40" t="n">
        <v>0</v>
      </c>
      <c r="D42" s="40" t="n">
        <v>-18</v>
      </c>
      <c r="E42" s="40" t="n">
        <v>0</v>
      </c>
      <c r="F42" s="40" t="n">
        <v>0</v>
      </c>
      <c r="G42" s="40" t="n">
        <v>0</v>
      </c>
      <c r="H42" s="40" t="n">
        <v>0</v>
      </c>
      <c r="I42" s="40" t="n">
        <v>0</v>
      </c>
      <c r="J42" s="40" t="n">
        <v>0</v>
      </c>
    </row>
    <row r="43">
      <c r="A43" s="8" t="inlineStr">
        <is>
          <t>Other receipts / (payments)</t>
        </is>
      </c>
      <c r="B43" s="26" t="inlineStr">
        <is>
          <t>Rs cr</t>
        </is>
      </c>
      <c r="C43" s="40" t="n">
        <v>-347</v>
      </c>
      <c r="D43" s="40" t="n">
        <v>-736</v>
      </c>
      <c r="E43" s="40" t="n">
        <v>-538</v>
      </c>
      <c r="F43" s="40" t="n">
        <v>0</v>
      </c>
      <c r="G43" s="40" t="n">
        <v>0</v>
      </c>
      <c r="H43" s="40" t="n">
        <v>0</v>
      </c>
      <c r="I43" s="40" t="n">
        <v>0</v>
      </c>
      <c r="J43" s="40" t="n">
        <v>0</v>
      </c>
    </row>
    <row r="44">
      <c r="A44" s="6" t="inlineStr">
        <is>
          <t>NET CASH USED IN FINANCING ACTIVITIES</t>
        </is>
      </c>
      <c r="B44" s="26" t="inlineStr">
        <is>
          <t>Rs cr</t>
        </is>
      </c>
      <c r="C44" s="43">
        <f>SUM(C36:C43)</f>
        <v/>
      </c>
      <c r="D44" s="43">
        <f>SUM(D36:D43)</f>
        <v/>
      </c>
      <c r="E44" s="43">
        <f>SUM(E36:E43)</f>
        <v/>
      </c>
      <c r="F44" s="43">
        <f>SUM(F36:F43)</f>
        <v/>
      </c>
      <c r="G44" s="43">
        <f>SUM(G36:G43)</f>
        <v/>
      </c>
      <c r="H44" s="43">
        <f>SUM(H36:H43)</f>
        <v/>
      </c>
      <c r="I44" s="43">
        <f>SUM(I36:I43)</f>
        <v/>
      </c>
      <c r="J44" s="43">
        <f>SUM(J36:J43)</f>
        <v/>
      </c>
    </row>
    <row r="45">
      <c r="A45" s="6" t="inlineStr">
        <is>
          <t>Net increase / (decrease) in cash and cash equivalents</t>
        </is>
      </c>
      <c r="B45" s="26" t="inlineStr">
        <is>
          <t>Rs cr</t>
        </is>
      </c>
      <c r="C45" s="51">
        <f>C26+C34+C44</f>
        <v/>
      </c>
      <c r="D45" s="51">
        <f>D26+D34+D44</f>
        <v/>
      </c>
      <c r="E45" s="51">
        <f>E26+E34+E44</f>
        <v/>
      </c>
      <c r="F45" s="51">
        <f>F26+F34+F44</f>
        <v/>
      </c>
      <c r="G45" s="51">
        <f>G26+G34+G44</f>
        <v/>
      </c>
      <c r="H45" s="51">
        <f>H26+H34+H44</f>
        <v/>
      </c>
      <c r="I45" s="51">
        <f>I26+I34+I44</f>
        <v/>
      </c>
      <c r="J45" s="51">
        <f>J26+J34+J44</f>
        <v/>
      </c>
    </row>
    <row r="46">
      <c r="A46" s="8" t="inlineStr">
        <is>
          <t>Effect of exchange rate changes on cash and cash equivalents</t>
        </is>
      </c>
      <c r="B46" s="26" t="inlineStr">
        <is>
          <t>Rs cr</t>
        </is>
      </c>
      <c r="C46" s="40" t="n">
        <v>138</v>
      </c>
      <c r="D46" s="40" t="n">
        <v>-84</v>
      </c>
      <c r="E46" s="40" t="n">
        <v>82</v>
      </c>
      <c r="F46" s="40" t="n">
        <v>0</v>
      </c>
      <c r="G46" s="40" t="n">
        <v>0</v>
      </c>
      <c r="H46" s="40" t="n">
        <v>0</v>
      </c>
      <c r="I46" s="40" t="n">
        <v>0</v>
      </c>
      <c r="J46" s="40" t="n">
        <v>0</v>
      </c>
    </row>
    <row r="47">
      <c r="A47" s="8" t="inlineStr">
        <is>
          <t>Cash and cash equivalents - beginning of year</t>
        </is>
      </c>
      <c r="B47" s="26" t="inlineStr">
        <is>
          <t>Rs cr</t>
        </is>
      </c>
      <c r="C47" s="40" t="n">
        <v>17472</v>
      </c>
      <c r="D47" s="40" t="n">
        <v>12173</v>
      </c>
      <c r="E47" s="40" t="n">
        <v>14786</v>
      </c>
      <c r="F47" s="11">
        <f>BS!E23</f>
        <v/>
      </c>
      <c r="G47" s="11">
        <f>BS!F23</f>
        <v/>
      </c>
      <c r="H47" s="11">
        <f>BS!G23</f>
        <v/>
      </c>
      <c r="I47" s="11">
        <f>BS!H23</f>
        <v/>
      </c>
      <c r="J47" s="11">
        <f>BS!I23</f>
        <v/>
      </c>
    </row>
    <row r="48">
      <c r="A48" s="6" t="inlineStr">
        <is>
          <t>Cash and cash equivalents - end of year</t>
        </is>
      </c>
      <c r="B48" s="26" t="inlineStr">
        <is>
          <t>Rs cr</t>
        </is>
      </c>
      <c r="C48" s="43">
        <f>C45+C46+C47</f>
        <v/>
      </c>
      <c r="D48" s="43">
        <f>D45+D46+D47</f>
        <v/>
      </c>
      <c r="E48" s="43">
        <f>E45+E46+E47</f>
        <v/>
      </c>
      <c r="F48" s="43">
        <f>F45+F46+F47</f>
        <v/>
      </c>
      <c r="G48" s="43">
        <f>G45+G46+G47</f>
        <v/>
      </c>
      <c r="H48" s="43">
        <f>H45+H46+H47</f>
        <v/>
      </c>
      <c r="I48" s="43">
        <f>I45+I46+I47</f>
        <v/>
      </c>
      <c r="J48" s="43">
        <f>J45+J46+J47</f>
        <v/>
      </c>
    </row>
    <row r="49">
      <c r="A49" s="48" t="inlineStr">
        <is>
          <t>Difference to balance-sheet cash line</t>
        </is>
      </c>
      <c r="B49" s="26" t="inlineStr">
        <is>
          <t>Rs cr</t>
        </is>
      </c>
      <c r="C49" s="58">
        <f>BS!C23-C48</f>
        <v/>
      </c>
      <c r="D49" s="58">
        <f>BS!D23-D48</f>
        <v/>
      </c>
      <c r="E49" s="58">
        <f>BS!E23-E48</f>
        <v/>
      </c>
      <c r="F49" s="58">
        <f>BS!F23-F48</f>
        <v/>
      </c>
      <c r="G49" s="58">
        <f>BS!G23-G48</f>
        <v/>
      </c>
      <c r="H49" s="58">
        <f>BS!H23-H48</f>
        <v/>
      </c>
      <c r="I49" s="58">
        <f>BS!I23-I48</f>
        <v/>
      </c>
      <c r="J49" s="58">
        <f>BS!J23-J48</f>
        <v/>
      </c>
    </row>
    <row r="51">
      <c r="A51" s="42" t="inlineStr">
        <is>
          <t>Free cash flow memo (company definition: operating cash flow - capex)</t>
        </is>
      </c>
    </row>
    <row r="52">
      <c r="A52" s="6" t="inlineStr">
        <is>
          <t>Free cash flow</t>
        </is>
      </c>
      <c r="B52" s="26" t="inlineStr">
        <is>
          <t>Rs cr</t>
        </is>
      </c>
      <c r="C52" s="51">
        <f>C26+C28</f>
        <v/>
      </c>
      <c r="D52" s="51">
        <f>D26+D28</f>
        <v/>
      </c>
      <c r="E52" s="51">
        <f>E26+E28</f>
        <v/>
      </c>
      <c r="F52" s="51">
        <f>F26+F28</f>
        <v/>
      </c>
      <c r="G52" s="51">
        <f>G26+G28</f>
        <v/>
      </c>
      <c r="H52" s="51">
        <f>H26+H28</f>
        <v/>
      </c>
      <c r="I52" s="51">
        <f>I26+I28</f>
        <v/>
      </c>
      <c r="J52" s="51">
        <f>J26+J28</f>
        <v/>
      </c>
    </row>
    <row r="53">
      <c r="A53" s="8" t="inlineStr">
        <is>
          <t>FCF conversion (FCF / net profit)</t>
        </is>
      </c>
      <c r="B53" s="26" t="inlineStr">
        <is>
          <t>%</t>
        </is>
      </c>
      <c r="C53" s="13">
        <f>C52/IS!C24</f>
        <v/>
      </c>
      <c r="D53" s="13">
        <f>D52/IS!D24</f>
        <v/>
      </c>
      <c r="E53" s="13">
        <f>E52/IS!E24</f>
        <v/>
      </c>
      <c r="F53" s="13">
        <f>F52/IS!F24</f>
        <v/>
      </c>
      <c r="G53" s="13">
        <f>G52/IS!G24</f>
        <v/>
      </c>
      <c r="H53" s="13">
        <f>H52/IS!H24</f>
        <v/>
      </c>
      <c r="I53" s="13">
        <f>I52/IS!I24</f>
        <v/>
      </c>
      <c r="J53" s="13">
        <f>J52/IS!J24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Supporting Schedules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A. FIXED-ASSET SCHEDULES (forecast: opening + additions - D&amp;A = closing)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6" t="inlineStr">
        <is>
          <t>Capex (PPE + intangibles, cash)</t>
        </is>
      </c>
      <c r="B7" s="26" t="inlineStr">
        <is>
          <t>Rs cr</t>
        </is>
      </c>
      <c r="C7" s="50">
        <f>-CF!C28</f>
        <v/>
      </c>
      <c r="D7" s="50">
        <f>-CF!D28</f>
        <v/>
      </c>
      <c r="E7" s="50">
        <f>-CF!E28</f>
        <v/>
      </c>
      <c r="F7" s="50">
        <f>Inputs!F49*IS!F7</f>
        <v/>
      </c>
      <c r="G7" s="50">
        <f>Inputs!G49*IS!G7</f>
        <v/>
      </c>
      <c r="H7" s="50">
        <f>Inputs!H49*IS!H7</f>
        <v/>
      </c>
      <c r="I7" s="50">
        <f>Inputs!I49*IS!I7</f>
        <v/>
      </c>
      <c r="J7" s="50">
        <f>Inputs!J49*IS!J7</f>
        <v/>
      </c>
    </row>
    <row r="8">
      <c r="A8" s="8" t="inlineStr">
        <is>
          <t xml:space="preserve">  of which PPE</t>
        </is>
      </c>
      <c r="B8" s="26" t="inlineStr">
        <is>
          <t>Rs cr</t>
        </is>
      </c>
      <c r="F8" s="11">
        <f>F7*Inputs!F50</f>
        <v/>
      </c>
      <c r="G8" s="11">
        <f>G7*Inputs!G50</f>
        <v/>
      </c>
      <c r="H8" s="11">
        <f>H7*Inputs!H50</f>
        <v/>
      </c>
      <c r="I8" s="11">
        <f>I7*Inputs!I50</f>
        <v/>
      </c>
      <c r="J8" s="11">
        <f>J7*Inputs!J50</f>
        <v/>
      </c>
    </row>
    <row r="9">
      <c r="A9" s="8" t="inlineStr">
        <is>
          <t xml:space="preserve">  of which intangibles</t>
        </is>
      </c>
      <c r="B9" s="26" t="inlineStr">
        <is>
          <t>Rs cr</t>
        </is>
      </c>
      <c r="F9" s="45">
        <f>F7-F8</f>
        <v/>
      </c>
      <c r="G9" s="45">
        <f>G7-G8</f>
        <v/>
      </c>
      <c r="H9" s="45">
        <f>H7-H8</f>
        <v/>
      </c>
      <c r="I9" s="45">
        <f>I7-I8</f>
        <v/>
      </c>
      <c r="J9" s="45">
        <f>J7-J8</f>
        <v/>
      </c>
    </row>
    <row r="10">
      <c r="A10" s="8" t="inlineStr">
        <is>
          <t>Lease additions - ROU (non-cash)</t>
        </is>
      </c>
      <c r="B10" s="26" t="inlineStr">
        <is>
          <t>Rs cr</t>
        </is>
      </c>
      <c r="D10" s="40" t="n">
        <v>2190</v>
      </c>
      <c r="E10" s="40" t="n">
        <v>2156</v>
      </c>
      <c r="F10" s="11">
        <f>Inputs!F51*IS!F7</f>
        <v/>
      </c>
      <c r="G10" s="11">
        <f>Inputs!G51*IS!G7</f>
        <v/>
      </c>
      <c r="H10" s="11">
        <f>Inputs!H51*IS!H7</f>
        <v/>
      </c>
      <c r="I10" s="11">
        <f>Inputs!I51*IS!I7</f>
        <v/>
      </c>
      <c r="J10" s="11">
        <f>Inputs!J51*IS!J7</f>
        <v/>
      </c>
      <c r="L10" s="28" t="inlineStr">
        <is>
          <t>Hist: Note 2.21.</t>
        </is>
      </c>
    </row>
    <row r="11">
      <c r="A11" s="48" t="inlineStr">
        <is>
          <t>Capex % revenue</t>
        </is>
      </c>
      <c r="B11" s="26" t="inlineStr">
        <is>
          <t>%</t>
        </is>
      </c>
      <c r="C11" s="59">
        <f>C7/IS!C7</f>
        <v/>
      </c>
      <c r="D11" s="59">
        <f>D7/IS!D7</f>
        <v/>
      </c>
      <c r="E11" s="59">
        <f>E7/IS!E7</f>
        <v/>
      </c>
      <c r="F11" s="59">
        <f>F7/IS!F7</f>
        <v/>
      </c>
      <c r="G11" s="59">
        <f>G7/IS!G7</f>
        <v/>
      </c>
      <c r="H11" s="59">
        <f>H7/IS!H7</f>
        <v/>
      </c>
      <c r="I11" s="59">
        <f>I7/IS!I7</f>
        <v/>
      </c>
      <c r="J11" s="59">
        <f>J7/IS!J7</f>
        <v/>
      </c>
    </row>
    <row r="13">
      <c r="A13" s="42" t="inlineStr">
        <is>
          <t>Property, plant &amp; equipment (CWIP held flat)</t>
        </is>
      </c>
    </row>
    <row r="14">
      <c r="A14" s="8" t="inlineStr">
        <is>
          <t>Opening net block</t>
        </is>
      </c>
      <c r="B14" s="26" t="inlineStr">
        <is>
          <t>Rs cr</t>
        </is>
      </c>
      <c r="F14" s="11">
        <f>BS!E8</f>
        <v/>
      </c>
      <c r="G14" s="11">
        <f>BS!F8</f>
        <v/>
      </c>
      <c r="H14" s="11">
        <f>BS!G8</f>
        <v/>
      </c>
      <c r="I14" s="11">
        <f>BS!H8</f>
        <v/>
      </c>
      <c r="J14" s="11">
        <f>BS!I8</f>
        <v/>
      </c>
    </row>
    <row r="15">
      <c r="A15" s="8" t="inlineStr">
        <is>
          <t>+ Additions</t>
        </is>
      </c>
      <c r="B15" s="26" t="inlineStr">
        <is>
          <t>Rs cr</t>
        </is>
      </c>
      <c r="F15" s="45">
        <f>F8</f>
        <v/>
      </c>
      <c r="G15" s="45">
        <f>G8</f>
        <v/>
      </c>
      <c r="H15" s="45">
        <f>H8</f>
        <v/>
      </c>
      <c r="I15" s="45">
        <f>I8</f>
        <v/>
      </c>
      <c r="J15" s="45">
        <f>J8</f>
        <v/>
      </c>
    </row>
    <row r="16">
      <c r="A16" s="8" t="inlineStr">
        <is>
          <t>- Depreciation</t>
        </is>
      </c>
      <c r="B16" s="26" t="inlineStr">
        <is>
          <t>Rs cr</t>
        </is>
      </c>
      <c r="F16" s="11">
        <f>Inputs!F52*F14</f>
        <v/>
      </c>
      <c r="G16" s="11">
        <f>Inputs!G52*G14</f>
        <v/>
      </c>
      <c r="H16" s="11">
        <f>Inputs!H52*H14</f>
        <v/>
      </c>
      <c r="I16" s="11">
        <f>Inputs!I52*I14</f>
        <v/>
      </c>
      <c r="J16" s="11">
        <f>Inputs!J52*J14</f>
        <v/>
      </c>
    </row>
    <row r="17">
      <c r="A17" s="6" t="inlineStr">
        <is>
          <t>Closing net block</t>
        </is>
      </c>
      <c r="B17" s="26" t="inlineStr">
        <is>
          <t>Rs cr</t>
        </is>
      </c>
      <c r="C17" s="60">
        <f>BS!C8</f>
        <v/>
      </c>
      <c r="D17" s="60">
        <f>BS!D8</f>
        <v/>
      </c>
      <c r="E17" s="60">
        <f>BS!E8</f>
        <v/>
      </c>
      <c r="F17" s="43">
        <f>F14+F15-F16</f>
        <v/>
      </c>
      <c r="G17" s="43">
        <f>G14+G15-G16</f>
        <v/>
      </c>
      <c r="H17" s="43">
        <f>H14+H15-H16</f>
        <v/>
      </c>
      <c r="I17" s="43">
        <f>I14+I15-I16</f>
        <v/>
      </c>
      <c r="J17" s="43">
        <f>J14+J15-J16</f>
        <v/>
      </c>
    </row>
    <row r="18">
      <c r="A18" s="42" t="inlineStr">
        <is>
          <t>Right-of-use assets</t>
        </is>
      </c>
    </row>
    <row r="19">
      <c r="A19" s="8" t="inlineStr">
        <is>
          <t>Opening net block</t>
        </is>
      </c>
      <c r="B19" s="26" t="inlineStr">
        <is>
          <t>Rs cr</t>
        </is>
      </c>
      <c r="F19" s="11">
        <f>BS!E9</f>
        <v/>
      </c>
      <c r="G19" s="11">
        <f>BS!F9</f>
        <v/>
      </c>
      <c r="H19" s="11">
        <f>BS!G9</f>
        <v/>
      </c>
      <c r="I19" s="11">
        <f>BS!H9</f>
        <v/>
      </c>
      <c r="J19" s="11">
        <f>BS!I9</f>
        <v/>
      </c>
    </row>
    <row r="20">
      <c r="A20" s="8" t="inlineStr">
        <is>
          <t>+ Additions</t>
        </is>
      </c>
      <c r="B20" s="26" t="inlineStr">
        <is>
          <t>Rs cr</t>
        </is>
      </c>
      <c r="F20" s="45">
        <f>F10</f>
        <v/>
      </c>
      <c r="G20" s="45">
        <f>G10</f>
        <v/>
      </c>
      <c r="H20" s="45">
        <f>H10</f>
        <v/>
      </c>
      <c r="I20" s="45">
        <f>I10</f>
        <v/>
      </c>
      <c r="J20" s="45">
        <f>J10</f>
        <v/>
      </c>
    </row>
    <row r="21">
      <c r="A21" s="8" t="inlineStr">
        <is>
          <t>- Depreciation</t>
        </is>
      </c>
      <c r="B21" s="26" t="inlineStr">
        <is>
          <t>Rs cr</t>
        </is>
      </c>
      <c r="F21" s="11">
        <f>Inputs!F52*F19</f>
        <v/>
      </c>
      <c r="G21" s="11">
        <f>Inputs!G52*G19</f>
        <v/>
      </c>
      <c r="H21" s="11">
        <f>Inputs!H52*H19</f>
        <v/>
      </c>
      <c r="I21" s="11">
        <f>Inputs!I52*I19</f>
        <v/>
      </c>
      <c r="J21" s="11">
        <f>Inputs!J52*J19</f>
        <v/>
      </c>
    </row>
    <row r="22">
      <c r="A22" s="6" t="inlineStr">
        <is>
          <t>Closing net block</t>
        </is>
      </c>
      <c r="B22" s="26" t="inlineStr">
        <is>
          <t>Rs cr</t>
        </is>
      </c>
      <c r="C22" s="60">
        <f>BS!C9</f>
        <v/>
      </c>
      <c r="D22" s="60">
        <f>BS!D9</f>
        <v/>
      </c>
      <c r="E22" s="60">
        <f>BS!E9</f>
        <v/>
      </c>
      <c r="F22" s="43">
        <f>F19+F20-F21</f>
        <v/>
      </c>
      <c r="G22" s="43">
        <f>G19+G20-G21</f>
        <v/>
      </c>
      <c r="H22" s="43">
        <f>H19+H20-H21</f>
        <v/>
      </c>
      <c r="I22" s="43">
        <f>I19+I20-I21</f>
        <v/>
      </c>
      <c r="J22" s="43">
        <f>J19+J20-J21</f>
        <v/>
      </c>
    </row>
    <row r="23">
      <c r="A23" s="42" t="inlineStr">
        <is>
          <t>Other intangible assets (goodwill held flat)</t>
        </is>
      </c>
    </row>
    <row r="24">
      <c r="A24" s="8" t="inlineStr">
        <is>
          <t>Opening net block</t>
        </is>
      </c>
      <c r="B24" s="26" t="inlineStr">
        <is>
          <t>Rs cr</t>
        </is>
      </c>
      <c r="F24" s="11">
        <f>BS!E12</f>
        <v/>
      </c>
      <c r="G24" s="11">
        <f>BS!F12</f>
        <v/>
      </c>
      <c r="H24" s="11">
        <f>BS!G12</f>
        <v/>
      </c>
      <c r="I24" s="11">
        <f>BS!H12</f>
        <v/>
      </c>
      <c r="J24" s="11">
        <f>BS!I12</f>
        <v/>
      </c>
    </row>
    <row r="25">
      <c r="A25" s="8" t="inlineStr">
        <is>
          <t>+ Additions</t>
        </is>
      </c>
      <c r="B25" s="26" t="inlineStr">
        <is>
          <t>Rs cr</t>
        </is>
      </c>
      <c r="F25" s="45">
        <f>F9</f>
        <v/>
      </c>
      <c r="G25" s="45">
        <f>G9</f>
        <v/>
      </c>
      <c r="H25" s="45">
        <f>H9</f>
        <v/>
      </c>
      <c r="I25" s="45">
        <f>I9</f>
        <v/>
      </c>
      <c r="J25" s="45">
        <f>J9</f>
        <v/>
      </c>
    </row>
    <row r="26">
      <c r="A26" s="8" t="inlineStr">
        <is>
          <t>- Amortisation</t>
        </is>
      </c>
      <c r="B26" s="26" t="inlineStr">
        <is>
          <t>Rs cr</t>
        </is>
      </c>
      <c r="F26" s="11">
        <f>Inputs!F52*F24</f>
        <v/>
      </c>
      <c r="G26" s="11">
        <f>Inputs!G52*G24</f>
        <v/>
      </c>
      <c r="H26" s="11">
        <f>Inputs!H52*H24</f>
        <v/>
      </c>
      <c r="I26" s="11">
        <f>Inputs!I52*I24</f>
        <v/>
      </c>
      <c r="J26" s="11">
        <f>Inputs!J52*J24</f>
        <v/>
      </c>
    </row>
    <row r="27">
      <c r="A27" s="6" t="inlineStr">
        <is>
          <t>Closing net block</t>
        </is>
      </c>
      <c r="B27" s="26" t="inlineStr">
        <is>
          <t>Rs cr</t>
        </is>
      </c>
      <c r="C27" s="60">
        <f>BS!C12</f>
        <v/>
      </c>
      <c r="D27" s="60">
        <f>BS!D12</f>
        <v/>
      </c>
      <c r="E27" s="60">
        <f>BS!E12</f>
        <v/>
      </c>
      <c r="F27" s="43">
        <f>F24+F25-F26</f>
        <v/>
      </c>
      <c r="G27" s="43">
        <f>G24+G25-G26</f>
        <v/>
      </c>
      <c r="H27" s="43">
        <f>H24+H25-H26</f>
        <v/>
      </c>
      <c r="I27" s="43">
        <f>I24+I25-I26</f>
        <v/>
      </c>
      <c r="J27" s="43">
        <f>J24+J25-J26</f>
        <v/>
      </c>
    </row>
    <row r="28">
      <c r="A28" s="6" t="inlineStr">
        <is>
          <t>Total depreciation &amp; amortisation</t>
        </is>
      </c>
      <c r="B28" s="26" t="inlineStr">
        <is>
          <t>Rs cr</t>
        </is>
      </c>
      <c r="C28" s="60">
        <f>IS!C16</f>
        <v/>
      </c>
      <c r="D28" s="60">
        <f>IS!D16</f>
        <v/>
      </c>
      <c r="E28" s="60">
        <f>IS!E16</f>
        <v/>
      </c>
      <c r="F28" s="43">
        <f>F16+F21+F26</f>
        <v/>
      </c>
      <c r="G28" s="43">
        <f>G16+G21+G26</f>
        <v/>
      </c>
      <c r="H28" s="43">
        <f>H16+H21+H26</f>
        <v/>
      </c>
      <c r="I28" s="43">
        <f>I16+I21+I26</f>
        <v/>
      </c>
      <c r="J28" s="43">
        <f>J16+J21+J26</f>
        <v/>
      </c>
    </row>
    <row r="29">
      <c r="A29" s="48" t="inlineStr">
        <is>
          <t xml:space="preserve">  D&amp;A % revenue</t>
        </is>
      </c>
      <c r="B29" s="26" t="inlineStr">
        <is>
          <t>%</t>
        </is>
      </c>
      <c r="C29" s="59">
        <f>C28/IS!C7</f>
        <v/>
      </c>
      <c r="D29" s="59">
        <f>D28/IS!D7</f>
        <v/>
      </c>
      <c r="E29" s="59">
        <f>E28/IS!E7</f>
        <v/>
      </c>
      <c r="F29" s="59">
        <f>F28/IS!F7</f>
        <v/>
      </c>
      <c r="G29" s="59">
        <f>G28/IS!G7</f>
        <v/>
      </c>
      <c r="H29" s="59">
        <f>H28/IS!H7</f>
        <v/>
      </c>
      <c r="I29" s="59">
        <f>I28/IS!I7</f>
        <v/>
      </c>
      <c r="J29" s="59">
        <f>J28/IS!J7</f>
        <v/>
      </c>
    </row>
    <row r="31">
      <c r="A31" s="30" t="inlineStr">
        <is>
          <t>B. LEASE SCHEDULE (Ind AS 116) - Infosys has no borrowings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>
      <c r="A32" s="8" t="inlineStr">
        <is>
          <t>Opening lease liabilities</t>
        </is>
      </c>
      <c r="B32" s="26" t="inlineStr">
        <is>
          <t>Rs cr</t>
        </is>
      </c>
      <c r="F32" s="11">
        <f>BS!E57</f>
        <v/>
      </c>
      <c r="G32" s="11">
        <f>BS!F57</f>
        <v/>
      </c>
      <c r="H32" s="11">
        <f>BS!G57</f>
        <v/>
      </c>
      <c r="I32" s="11">
        <f>BS!H57</f>
        <v/>
      </c>
      <c r="J32" s="11">
        <f>BS!I57</f>
        <v/>
      </c>
    </row>
    <row r="33">
      <c r="A33" s="8" t="inlineStr">
        <is>
          <t>+ New leases (non-cash)</t>
        </is>
      </c>
      <c r="B33" s="26" t="inlineStr">
        <is>
          <t>Rs cr</t>
        </is>
      </c>
      <c r="F33" s="45">
        <f>F10</f>
        <v/>
      </c>
      <c r="G33" s="45">
        <f>G10</f>
        <v/>
      </c>
      <c r="H33" s="45">
        <f>H10</f>
        <v/>
      </c>
      <c r="I33" s="45">
        <f>I10</f>
        <v/>
      </c>
      <c r="J33" s="45">
        <f>J10</f>
        <v/>
      </c>
    </row>
    <row r="34">
      <c r="A34" s="8" t="inlineStr">
        <is>
          <t>+ Interest accrued (= finance cost)</t>
        </is>
      </c>
      <c r="B34" s="26" t="inlineStr">
        <is>
          <t>Rs cr</t>
        </is>
      </c>
      <c r="C34" s="11">
        <f>IS!C17</f>
        <v/>
      </c>
      <c r="D34" s="11">
        <f>IS!D17</f>
        <v/>
      </c>
      <c r="E34" s="11">
        <f>IS!E17</f>
        <v/>
      </c>
      <c r="F34" s="11">
        <f>Inputs!F53*F32</f>
        <v/>
      </c>
      <c r="G34" s="11">
        <f>Inputs!G53*G32</f>
        <v/>
      </c>
      <c r="H34" s="11">
        <f>Inputs!H53*H32</f>
        <v/>
      </c>
      <c r="I34" s="11">
        <f>Inputs!I53*I32</f>
        <v/>
      </c>
      <c r="J34" s="11">
        <f>Inputs!J53*J32</f>
        <v/>
      </c>
      <c r="L34" s="28" t="inlineStr">
        <is>
          <t>Hist = total finance cost.</t>
        </is>
      </c>
    </row>
    <row r="35">
      <c r="A35" s="8" t="inlineStr">
        <is>
          <t>- Lease payments (principal + interest)</t>
        </is>
      </c>
      <c r="B35" s="26" t="inlineStr">
        <is>
          <t>Rs cr</t>
        </is>
      </c>
      <c r="C35" s="11">
        <f>-CF!C36</f>
        <v/>
      </c>
      <c r="D35" s="11">
        <f>-CF!D36</f>
        <v/>
      </c>
      <c r="E35" s="11">
        <f>-CF!E36</f>
        <v/>
      </c>
      <c r="F35" s="11">
        <f>Inputs!F54*F32</f>
        <v/>
      </c>
      <c r="G35" s="11">
        <f>Inputs!G54*G32</f>
        <v/>
      </c>
      <c r="H35" s="11">
        <f>Inputs!H54*H32</f>
        <v/>
      </c>
      <c r="I35" s="11">
        <f>Inputs!I54*I32</f>
        <v/>
      </c>
      <c r="J35" s="11">
        <f>Inputs!J54*J32</f>
        <v/>
      </c>
    </row>
    <row r="36">
      <c r="A36" s="6" t="inlineStr">
        <is>
          <t>Closing lease liabilities</t>
        </is>
      </c>
      <c r="B36" s="26" t="inlineStr">
        <is>
          <t>Rs cr</t>
        </is>
      </c>
      <c r="C36" s="60">
        <f>BS!C57</f>
        <v/>
      </c>
      <c r="D36" s="60">
        <f>BS!D57</f>
        <v/>
      </c>
      <c r="E36" s="60">
        <f>BS!E57</f>
        <v/>
      </c>
      <c r="F36" s="43">
        <f>F32+F33+F34-F35</f>
        <v/>
      </c>
      <c r="G36" s="43">
        <f>G32+G33+G34-G35</f>
        <v/>
      </c>
      <c r="H36" s="43">
        <f>H32+H33+H34-H35</f>
        <v/>
      </c>
      <c r="I36" s="43">
        <f>I32+I33+I34-I35</f>
        <v/>
      </c>
      <c r="J36" s="43">
        <f>J32+J33+J34-J35</f>
        <v/>
      </c>
    </row>
    <row r="37">
      <c r="A37" s="8" t="inlineStr">
        <is>
          <t xml:space="preserve">  current portion</t>
        </is>
      </c>
      <c r="B37" s="26" t="inlineStr">
        <is>
          <t>Rs cr</t>
        </is>
      </c>
      <c r="F37" s="11">
        <f>F36*Inputs!F55</f>
        <v/>
      </c>
      <c r="G37" s="11">
        <f>G36*Inputs!G55</f>
        <v/>
      </c>
      <c r="H37" s="11">
        <f>H36*Inputs!H55</f>
        <v/>
      </c>
      <c r="I37" s="11">
        <f>I36*Inputs!I55</f>
        <v/>
      </c>
      <c r="J37" s="11">
        <f>J36*Inputs!J55</f>
        <v/>
      </c>
    </row>
    <row r="38">
      <c r="A38" s="8" t="inlineStr">
        <is>
          <t xml:space="preserve">  non-current portion</t>
        </is>
      </c>
      <c r="B38" s="26" t="inlineStr">
        <is>
          <t>Rs cr</t>
        </is>
      </c>
      <c r="F38" s="45">
        <f>F36-F37</f>
        <v/>
      </c>
      <c r="G38" s="45">
        <f>G36-G37</f>
        <v/>
      </c>
      <c r="H38" s="45">
        <f>H36-H37</f>
        <v/>
      </c>
      <c r="I38" s="45">
        <f>I36-I37</f>
        <v/>
      </c>
      <c r="J38" s="45">
        <f>J36-J37</f>
        <v/>
      </c>
    </row>
    <row r="40">
      <c r="A40" s="30" t="inlineStr">
        <is>
          <t>C. DIVIDENDS</t>
        </is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</row>
    <row r="41">
      <c r="A41" s="8" t="inlineStr">
        <is>
          <t>Dividends to owners (DPS x shares)</t>
        </is>
      </c>
      <c r="B41" s="26" t="inlineStr">
        <is>
          <t>Rs cr</t>
        </is>
      </c>
      <c r="C41" s="11">
        <f>-CF!C37</f>
        <v/>
      </c>
      <c r="D41" s="11">
        <f>-CF!D37</f>
        <v/>
      </c>
      <c r="E41" s="11">
        <f>-CF!E37</f>
        <v/>
      </c>
      <c r="F41" s="11">
        <f>Inputs!F46*Inputs!F48</f>
        <v/>
      </c>
      <c r="G41" s="11">
        <f>Inputs!G46*Inputs!G48</f>
        <v/>
      </c>
      <c r="H41" s="11">
        <f>Inputs!H46*Inputs!H48</f>
        <v/>
      </c>
      <c r="I41" s="11">
        <f>Inputs!I46*Inputs!I48</f>
        <v/>
      </c>
      <c r="J41" s="11">
        <f>Inputs!J46*Inputs!J48</f>
        <v/>
      </c>
    </row>
    <row r="42">
      <c r="A42" s="8" t="inlineStr">
        <is>
          <t>Dividends to non-controlling interests</t>
        </is>
      </c>
      <c r="B42" s="26" t="inlineStr">
        <is>
          <t>Rs cr</t>
        </is>
      </c>
      <c r="C42" s="11">
        <f>-CF!C38</f>
        <v/>
      </c>
      <c r="D42" s="11">
        <f>-CF!D38</f>
        <v/>
      </c>
      <c r="E42" s="11">
        <f>-CF!E38</f>
        <v/>
      </c>
      <c r="F42" s="11">
        <f>Inputs!F47*IS!F25</f>
        <v/>
      </c>
      <c r="G42" s="11">
        <f>Inputs!G47*IS!G25</f>
        <v/>
      </c>
      <c r="H42" s="11">
        <f>Inputs!H47*IS!H25</f>
        <v/>
      </c>
      <c r="I42" s="11">
        <f>Inputs!I47*IS!I25</f>
        <v/>
      </c>
      <c r="J42" s="11">
        <f>Inputs!J47*IS!J25</f>
        <v/>
      </c>
    </row>
    <row r="43">
      <c r="A43" s="8" t="inlineStr">
        <is>
          <t>Dividends as % of free cash flow</t>
        </is>
      </c>
      <c r="B43" s="26" t="inlineStr">
        <is>
          <t>%</t>
        </is>
      </c>
      <c r="C43" s="13">
        <f>C41/CF!C52</f>
        <v/>
      </c>
      <c r="D43" s="13">
        <f>D41/CF!D52</f>
        <v/>
      </c>
      <c r="E43" s="13">
        <f>E41/CF!E52</f>
        <v/>
      </c>
      <c r="F43" s="13">
        <f>F41/CF!F52</f>
        <v/>
      </c>
      <c r="G43" s="13">
        <f>G41/CF!G52</f>
        <v/>
      </c>
      <c r="H43" s="13">
        <f>H41/CF!H52</f>
        <v/>
      </c>
      <c r="I43" s="13">
        <f>I41/CF!I52</f>
        <v/>
      </c>
      <c r="J43" s="13">
        <f>J41/CF!J52</f>
        <v/>
      </c>
      <c r="L43" s="28" t="inlineStr">
        <is>
          <t>Policy: ~85% of FCF over five years.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L25"/>
  <sheetViews>
    <sheetView showGridLines="0"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Cost of Capital (WACC)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n"/>
      <c r="B4" s="24" t="inlineStr">
        <is>
          <t>Unit</t>
        </is>
      </c>
      <c r="C4" s="24" t="inlineStr">
        <is>
          <t>Value</t>
        </is>
      </c>
      <c r="D4" s="24" t="n"/>
      <c r="E4" s="24" t="n"/>
      <c r="F4" s="25" t="n"/>
      <c r="G4" s="25" t="n"/>
      <c r="H4" s="25" t="n"/>
      <c r="I4" s="25" t="n"/>
      <c r="J4" s="25" t="n"/>
      <c r="K4" s="24" t="n"/>
      <c r="L4" s="23" t="inlineStr">
        <is>
          <t>Notes / source</t>
        </is>
      </c>
    </row>
    <row r="6">
      <c r="A6" s="30" t="inlineStr">
        <is>
          <t>COST OF CAPITAL (as at valuation date 31-Mar-2025)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8" t="inlineStr">
        <is>
          <t>Risk-free rate (India 10-yr G-sec yield, 31-Mar-2025)</t>
        </is>
      </c>
      <c r="B7" s="26" t="inlineStr">
        <is>
          <t>%</t>
        </is>
      </c>
      <c r="C7" s="35" t="n">
        <v>0.06809999999999999</v>
      </c>
      <c r="L7" s="28" t="inlineStr">
        <is>
          <t>India 10Y government bond yield on 31-Mar-2025 = 6.81% (Trading Economics / Investing.com).</t>
        </is>
      </c>
    </row>
    <row r="8">
      <c r="A8" s="8" t="inlineStr">
        <is>
          <t>Equity beta (levered)</t>
        </is>
      </c>
      <c r="B8" s="26" t="inlineStr">
        <is>
          <t>x</t>
        </is>
      </c>
      <c r="C8" s="34" t="n">
        <v>0.9</v>
      </c>
      <c r="L8" s="28" t="inlineStr">
        <is>
          <t>Published Infosys betas vs Nifty: 0.62 (one source) to 0.86-0.94 (3-5 yr windows). 0.90 = judgement; sensitised below.</t>
        </is>
      </c>
    </row>
    <row r="9">
      <c r="A9" s="8" t="inlineStr">
        <is>
          <t>Equity risk premium</t>
        </is>
      </c>
      <c r="B9" s="26" t="inlineStr">
        <is>
          <t>%</t>
        </is>
      </c>
      <c r="C9" s="35" t="n">
        <v>0.055</v>
      </c>
      <c r="L9" s="28" t="inlineStr">
        <is>
          <t>Indian practice 5-6% over G-sec.</t>
        </is>
      </c>
    </row>
    <row r="10">
      <c r="A10" s="8" t="inlineStr">
        <is>
          <t>Size / company-specific premium</t>
        </is>
      </c>
      <c r="B10" s="26" t="inlineStr">
        <is>
          <t>%</t>
        </is>
      </c>
      <c r="C10" s="35" t="n">
        <v>0</v>
      </c>
    </row>
    <row r="11">
      <c r="A11" s="6" t="inlineStr">
        <is>
          <t>Cost of equity (CAPM)</t>
        </is>
      </c>
      <c r="B11" s="26" t="inlineStr">
        <is>
          <t>%</t>
        </is>
      </c>
      <c r="C11" s="61">
        <f>C7+C8*C9+C10</f>
        <v/>
      </c>
    </row>
    <row r="13">
      <c r="A13" s="8" t="inlineStr">
        <is>
          <t>Pre-tax cost of debt (lease implicit rate)</t>
        </is>
      </c>
      <c r="B13" s="26" t="inlineStr">
        <is>
          <t>%</t>
        </is>
      </c>
      <c r="C13" s="35" t="n">
        <v>0.06</v>
      </c>
      <c r="L13" s="28" t="inlineStr">
        <is>
          <t>Only leases (Rs8,227 crore); lease interest ~5-6%.</t>
        </is>
      </c>
    </row>
    <row r="14">
      <c r="A14" s="8" t="inlineStr">
        <is>
          <t>Tax rate</t>
        </is>
      </c>
      <c r="B14" s="26" t="inlineStr">
        <is>
          <t>%</t>
        </is>
      </c>
      <c r="C14" s="35" t="n">
        <v>0.2517</v>
      </c>
    </row>
    <row r="15">
      <c r="A15" s="6" t="inlineStr">
        <is>
          <t>After-tax cost of debt</t>
        </is>
      </c>
      <c r="B15" s="26" t="inlineStr">
        <is>
          <t>%</t>
        </is>
      </c>
      <c r="C15" s="61">
        <f>C13*(1-C14)</f>
        <v/>
      </c>
    </row>
    <row r="17">
      <c r="A17" s="8" t="inlineStr">
        <is>
          <t>Target debt / (debt + equity)</t>
        </is>
      </c>
      <c r="B17" s="26" t="inlineStr">
        <is>
          <t>%</t>
        </is>
      </c>
      <c r="C17" s="32" t="n">
        <v>0.01</v>
      </c>
      <c r="L17" s="28" t="inlineStr">
        <is>
          <t>Debt-free except leases (~1% of market capitalisation).</t>
        </is>
      </c>
    </row>
    <row r="18">
      <c r="A18" s="8" t="inlineStr">
        <is>
          <t>Target equity / (debt + equity)</t>
        </is>
      </c>
      <c r="B18" s="26" t="inlineStr">
        <is>
          <t>%</t>
        </is>
      </c>
      <c r="C18" s="44">
        <f>1-C17</f>
        <v/>
      </c>
    </row>
    <row r="19">
      <c r="A19" s="6" t="inlineStr">
        <is>
          <t>WACC</t>
        </is>
      </c>
      <c r="B19" s="26" t="inlineStr">
        <is>
          <t>%</t>
        </is>
      </c>
      <c r="C19" s="61">
        <f>C18*C11+C17*C15</f>
        <v/>
      </c>
    </row>
    <row r="21">
      <c r="A21" s="30" t="inlineStr">
        <is>
          <t>CROSS-CHECK: CURRENT MARKET CAPITAL STRUCTURE</t>
        </is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</row>
    <row r="22">
      <c r="A22" s="8" t="inlineStr">
        <is>
          <t>Market capitalisation (Rs crore)</t>
        </is>
      </c>
      <c r="B22" s="26" t="inlineStr">
        <is>
          <t>Rs cr</t>
        </is>
      </c>
      <c r="C22" s="11">
        <f>Inputs!C75</f>
        <v/>
      </c>
    </row>
    <row r="23">
      <c r="A23" s="8" t="inlineStr">
        <is>
          <t>Debt = lease liabilities (Rs crore)</t>
        </is>
      </c>
      <c r="B23" s="26" t="inlineStr">
        <is>
          <t>Rs cr</t>
        </is>
      </c>
      <c r="C23" s="11">
        <f>BS!E57</f>
        <v/>
      </c>
    </row>
    <row r="24">
      <c r="A24" s="8" t="inlineStr">
        <is>
          <t>Implied market D/(D+E)</t>
        </is>
      </c>
      <c r="B24" s="26" t="inlineStr">
        <is>
          <t>%</t>
        </is>
      </c>
      <c r="C24" s="62">
        <f>C23/(C23+C22)</f>
        <v/>
      </c>
    </row>
    <row r="25">
      <c r="A25" s="8" t="inlineStr">
        <is>
          <t>Unlevered beta implied (Hamada)</t>
        </is>
      </c>
      <c r="B25" s="26" t="inlineStr">
        <is>
          <t>x</t>
        </is>
      </c>
      <c r="C25" s="63">
        <f>C8/(1+(1-C14)*C23/C22)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L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DCF Valuation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Rs crore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FREE CASH FLOW TO FIRM  (derived from the consolidated income statement, balance sheet &amp; cash flow statement)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8" t="inlineStr">
        <is>
          <t>Revenue</t>
        </is>
      </c>
      <c r="B7" s="26" t="inlineStr">
        <is>
          <t>Rs cr</t>
        </is>
      </c>
      <c r="C7" s="11">
        <f>IS!C7</f>
        <v/>
      </c>
      <c r="D7" s="11">
        <f>IS!D7</f>
        <v/>
      </c>
      <c r="E7" s="11">
        <f>IS!E7</f>
        <v/>
      </c>
      <c r="F7" s="11">
        <f>IS!F7</f>
        <v/>
      </c>
      <c r="G7" s="11">
        <f>IS!G7</f>
        <v/>
      </c>
      <c r="H7" s="11">
        <f>IS!H7</f>
        <v/>
      </c>
      <c r="I7" s="11">
        <f>IS!I7</f>
        <v/>
      </c>
      <c r="J7" s="11">
        <f>IS!J7</f>
        <v/>
      </c>
    </row>
    <row r="8">
      <c r="A8" s="6" t="inlineStr">
        <is>
          <t>EBITDA (excl. other income)</t>
        </is>
      </c>
      <c r="B8" s="26" t="inlineStr">
        <is>
          <t>Rs cr</t>
        </is>
      </c>
      <c r="C8" s="50">
        <f>IS!C38</f>
        <v/>
      </c>
      <c r="D8" s="50">
        <f>IS!D38</f>
        <v/>
      </c>
      <c r="E8" s="50">
        <f>IS!E38</f>
        <v/>
      </c>
      <c r="F8" s="50">
        <f>IS!F38</f>
        <v/>
      </c>
      <c r="G8" s="50">
        <f>IS!G38</f>
        <v/>
      </c>
      <c r="H8" s="50">
        <f>IS!H38</f>
        <v/>
      </c>
      <c r="I8" s="50">
        <f>IS!I38</f>
        <v/>
      </c>
      <c r="J8" s="50">
        <f>IS!J38</f>
        <v/>
      </c>
    </row>
    <row r="9">
      <c r="A9" s="48" t="inlineStr">
        <is>
          <t xml:space="preserve">  margin</t>
        </is>
      </c>
      <c r="B9" s="26" t="inlineStr">
        <is>
          <t>%</t>
        </is>
      </c>
      <c r="C9" s="49">
        <f>C8/C7</f>
        <v/>
      </c>
      <c r="D9" s="49">
        <f>D8/D7</f>
        <v/>
      </c>
      <c r="E9" s="49">
        <f>E8/E7</f>
        <v/>
      </c>
      <c r="F9" s="49">
        <f>F8/F7</f>
        <v/>
      </c>
      <c r="G9" s="49">
        <f>G8/G7</f>
        <v/>
      </c>
      <c r="H9" s="49">
        <f>H8/H7</f>
        <v/>
      </c>
      <c r="I9" s="49">
        <f>I8/I7</f>
        <v/>
      </c>
      <c r="J9" s="49">
        <f>J8/J7</f>
        <v/>
      </c>
    </row>
    <row r="10">
      <c r="A10" s="8" t="inlineStr">
        <is>
          <t>- Depreciation &amp; amortisation</t>
        </is>
      </c>
      <c r="B10" s="26" t="inlineStr">
        <is>
          <t>Rs cr</t>
        </is>
      </c>
      <c r="C10" s="11">
        <f>IS!C16</f>
        <v/>
      </c>
      <c r="D10" s="11">
        <f>IS!D16</f>
        <v/>
      </c>
      <c r="E10" s="11">
        <f>IS!E16</f>
        <v/>
      </c>
      <c r="F10" s="11">
        <f>IS!F16</f>
        <v/>
      </c>
      <c r="G10" s="11">
        <f>IS!G16</f>
        <v/>
      </c>
      <c r="H10" s="11">
        <f>IS!H16</f>
        <v/>
      </c>
      <c r="I10" s="11">
        <f>IS!I16</f>
        <v/>
      </c>
      <c r="J10" s="11">
        <f>IS!J16</f>
        <v/>
      </c>
    </row>
    <row r="11">
      <c r="A11" s="6" t="inlineStr">
        <is>
          <t>Operating EBIT (company "operating profit")</t>
        </is>
      </c>
      <c r="B11" s="26" t="inlineStr">
        <is>
          <t>Rs cr</t>
        </is>
      </c>
      <c r="C11" s="43">
        <f>C8-C10</f>
        <v/>
      </c>
      <c r="D11" s="43">
        <f>D8-D10</f>
        <v/>
      </c>
      <c r="E11" s="43">
        <f>E8-E10</f>
        <v/>
      </c>
      <c r="F11" s="43">
        <f>F8-F10</f>
        <v/>
      </c>
      <c r="G11" s="43">
        <f>G8-G10</f>
        <v/>
      </c>
      <c r="H11" s="43">
        <f>H8-H10</f>
        <v/>
      </c>
      <c r="I11" s="43">
        <f>I8-I10</f>
        <v/>
      </c>
      <c r="J11" s="43">
        <f>J8-J10</f>
        <v/>
      </c>
    </row>
    <row r="12">
      <c r="A12" s="8" t="inlineStr">
        <is>
          <t>- Tax on EBIT (unlevered)</t>
        </is>
      </c>
      <c r="B12" s="26" t="inlineStr">
        <is>
          <t>Rs cr</t>
        </is>
      </c>
      <c r="F12" s="11">
        <f>Inputs!F44*F11</f>
        <v/>
      </c>
      <c r="G12" s="11">
        <f>Inputs!G44*G11</f>
        <v/>
      </c>
      <c r="H12" s="11">
        <f>Inputs!H44*H11</f>
        <v/>
      </c>
      <c r="I12" s="11">
        <f>Inputs!I44*I11</f>
        <v/>
      </c>
      <c r="J12" s="11">
        <f>Inputs!J44*J11</f>
        <v/>
      </c>
    </row>
    <row r="13">
      <c r="A13" s="6" t="inlineStr">
        <is>
          <t>NOPAT</t>
        </is>
      </c>
      <c r="B13" s="26" t="inlineStr">
        <is>
          <t>Rs cr</t>
        </is>
      </c>
      <c r="F13" s="43">
        <f>F11-F12</f>
        <v/>
      </c>
      <c r="G13" s="43">
        <f>G11-G12</f>
        <v/>
      </c>
      <c r="H13" s="43">
        <f>H11-H12</f>
        <v/>
      </c>
      <c r="I13" s="43">
        <f>I11-I12</f>
        <v/>
      </c>
      <c r="J13" s="43">
        <f>J11-J12</f>
        <v/>
      </c>
    </row>
    <row r="14">
      <c r="A14" s="8" t="inlineStr">
        <is>
          <t>+ Depreciation &amp; amortisation</t>
        </is>
      </c>
      <c r="B14" s="26" t="inlineStr">
        <is>
          <t>Rs cr</t>
        </is>
      </c>
      <c r="F14" s="45">
        <f>F10</f>
        <v/>
      </c>
      <c r="G14" s="45">
        <f>G10</f>
        <v/>
      </c>
      <c r="H14" s="45">
        <f>H10</f>
        <v/>
      </c>
      <c r="I14" s="45">
        <f>I10</f>
        <v/>
      </c>
      <c r="J14" s="45">
        <f>J10</f>
        <v/>
      </c>
    </row>
    <row r="15">
      <c r="A15" s="8" t="inlineStr">
        <is>
          <t>- Capex (PPE + intangibles)</t>
        </is>
      </c>
      <c r="B15" s="26" t="inlineStr">
        <is>
          <t>Rs cr</t>
        </is>
      </c>
      <c r="F15" s="11">
        <f>-Sched!F7</f>
        <v/>
      </c>
      <c r="G15" s="11">
        <f>-Sched!G7</f>
        <v/>
      </c>
      <c r="H15" s="11">
        <f>-Sched!H7</f>
        <v/>
      </c>
      <c r="I15" s="11">
        <f>-Sched!I7</f>
        <v/>
      </c>
      <c r="J15" s="11">
        <f>-Sched!J7</f>
        <v/>
      </c>
    </row>
    <row r="16">
      <c r="A16" s="8" t="inlineStr">
        <is>
          <t>- Acquisitions (none forecast)</t>
        </is>
      </c>
      <c r="B16" s="26" t="inlineStr">
        <is>
          <t>Rs cr</t>
        </is>
      </c>
      <c r="F16" s="40" t="n">
        <v>0</v>
      </c>
      <c r="G16" s="40" t="n">
        <v>0</v>
      </c>
      <c r="H16" s="40" t="n">
        <v>0</v>
      </c>
      <c r="I16" s="40" t="n">
        <v>0</v>
      </c>
      <c r="J16" s="40" t="n">
        <v>0</v>
      </c>
    </row>
    <row r="17">
      <c r="A17" s="8" t="inlineStr">
        <is>
          <t>+/- Change in working capital (from cash flow statement)</t>
        </is>
      </c>
      <c r="B17" s="26" t="inlineStr">
        <is>
          <t>Rs cr</t>
        </is>
      </c>
      <c r="F17" s="11">
        <f>CF!F23</f>
        <v/>
      </c>
      <c r="G17" s="11">
        <f>CF!G23</f>
        <v/>
      </c>
      <c r="H17" s="11">
        <f>CF!H23</f>
        <v/>
      </c>
      <c r="I17" s="11">
        <f>CF!I23</f>
        <v/>
      </c>
      <c r="J17" s="11">
        <f>CF!J23</f>
        <v/>
      </c>
    </row>
    <row r="18">
      <c r="A18" s="8" t="inlineStr">
        <is>
          <t>+/- Lease adjustment (see Inputs switch)</t>
        </is>
      </c>
      <c r="B18" s="26" t="inlineStr">
        <is>
          <t>Rs cr</t>
        </is>
      </c>
      <c r="F18" s="11">
        <f>IF(Inputs!$C$71=1,-Sched!F10,-Sched!F35+Inputs!F44*Sched!F34)</f>
        <v/>
      </c>
      <c r="G18" s="11">
        <f>IF(Inputs!$C$71=1,-Sched!G10,-Sched!G35+Inputs!G44*Sched!G34)</f>
        <v/>
      </c>
      <c r="H18" s="11">
        <f>IF(Inputs!$C$71=1,-Sched!H10,-Sched!H35+Inputs!H44*Sched!H34)</f>
        <v/>
      </c>
      <c r="I18" s="11">
        <f>IF(Inputs!$C$71=1,-Sched!I10,-Sched!I35+Inputs!I44*Sched!I34)</f>
        <v/>
      </c>
      <c r="J18" s="11">
        <f>IF(Inputs!$C$71=1,-Sched!J10,-Sched!J35+Inputs!J44*Sched!J34)</f>
        <v/>
      </c>
      <c r="L18" s="28" t="inlineStr">
        <is>
          <t>Switch 1: new ROU additions treated as capex-equivalent. Switch 2: total lease cash cost net of tax shield on interest. SBC is NOT added back (treated as a real cost).</t>
        </is>
      </c>
    </row>
    <row r="19">
      <c r="A19" s="6" t="inlineStr">
        <is>
          <t>FREE CASH FLOW TO FIRM (FCFF)</t>
        </is>
      </c>
      <c r="B19" s="26" t="inlineStr">
        <is>
          <t>Rs cr</t>
        </is>
      </c>
      <c r="F19" s="43">
        <f>F13+F14+F15+F16+F17+F18</f>
        <v/>
      </c>
      <c r="G19" s="43">
        <f>G13+G14+G15+G16+G17+G18</f>
        <v/>
      </c>
      <c r="H19" s="43">
        <f>H13+H14+H15+H16+H17+H18</f>
        <v/>
      </c>
      <c r="I19" s="43">
        <f>I13+I14+I15+I16+I17+I18</f>
        <v/>
      </c>
      <c r="J19" s="43">
        <f>J13+J14+J15+J16+J17+J18</f>
        <v/>
      </c>
    </row>
    <row r="20">
      <c r="A20" s="48" t="inlineStr">
        <is>
          <t xml:space="preserve">  growth</t>
        </is>
      </c>
      <c r="B20" s="26" t="inlineStr">
        <is>
          <t>%</t>
        </is>
      </c>
      <c r="G20" s="49">
        <f>G19/F19-1</f>
        <v/>
      </c>
      <c r="H20" s="49">
        <f>H19/G19-1</f>
        <v/>
      </c>
      <c r="I20" s="49">
        <f>I19/H19-1</f>
        <v/>
      </c>
      <c r="J20" s="49">
        <f>J19/I19-1</f>
        <v/>
      </c>
    </row>
    <row r="21">
      <c r="A21" s="48" t="inlineStr">
        <is>
          <t xml:space="preserve">  FCFF % of EBITDA (cash conversion)</t>
        </is>
      </c>
      <c r="B21" s="26" t="inlineStr">
        <is>
          <t>%</t>
        </is>
      </c>
      <c r="F21" s="49">
        <f>F19/F8</f>
        <v/>
      </c>
      <c r="G21" s="49">
        <f>G19/G8</f>
        <v/>
      </c>
      <c r="H21" s="49">
        <f>H19/H8</f>
        <v/>
      </c>
      <c r="I21" s="49">
        <f>I19/I8</f>
        <v/>
      </c>
      <c r="J21" s="49">
        <f>J19/J8</f>
        <v/>
      </c>
    </row>
    <row r="23">
      <c r="A23" s="30" t="inlineStr">
        <is>
          <t>DISCOUNTING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>
      <c r="A24" s="8" t="inlineStr">
        <is>
          <t>Year number</t>
        </is>
      </c>
      <c r="B24" s="26" t="inlineStr">
        <is>
          <t>#</t>
        </is>
      </c>
      <c r="F24" s="64">
        <f>1</f>
        <v/>
      </c>
      <c r="G24" s="64">
        <f>2</f>
        <v/>
      </c>
      <c r="H24" s="64">
        <f>3</f>
        <v/>
      </c>
      <c r="I24" s="64">
        <f>4</f>
        <v/>
      </c>
      <c r="J24" s="64">
        <f>5</f>
        <v/>
      </c>
    </row>
    <row r="25">
      <c r="A25" s="8" t="inlineStr">
        <is>
          <t>Discount period (years from 31-Mar-2025)</t>
        </is>
      </c>
      <c r="B25" s="26" t="inlineStr">
        <is>
          <t>yrs</t>
        </is>
      </c>
      <c r="F25" s="65">
        <f>F24-0.5*Inputs!$C$70</f>
        <v/>
      </c>
      <c r="G25" s="65">
        <f>G24-0.5*Inputs!$C$70</f>
        <v/>
      </c>
      <c r="H25" s="65">
        <f>H24-0.5*Inputs!$C$70</f>
        <v/>
      </c>
      <c r="I25" s="65">
        <f>I24-0.5*Inputs!$C$70</f>
        <v/>
      </c>
      <c r="J25" s="65">
        <f>J24-0.5*Inputs!$C$70</f>
        <v/>
      </c>
    </row>
    <row r="26">
      <c r="A26" s="8" t="inlineStr">
        <is>
          <t>Discount factor @ WACC</t>
        </is>
      </c>
      <c r="B26" s="26" t="inlineStr">
        <is>
          <t>x</t>
        </is>
      </c>
      <c r="F26" s="66">
        <f>1/(1+WACC!$C$19)^F25</f>
        <v/>
      </c>
      <c r="G26" s="66">
        <f>1/(1+WACC!$C$19)^G25</f>
        <v/>
      </c>
      <c r="H26" s="66">
        <f>1/(1+WACC!$C$19)^H25</f>
        <v/>
      </c>
      <c r="I26" s="66">
        <f>1/(1+WACC!$C$19)^I25</f>
        <v/>
      </c>
      <c r="J26" s="66">
        <f>1/(1+WACC!$C$19)^J25</f>
        <v/>
      </c>
    </row>
    <row r="27">
      <c r="A27" s="6" t="inlineStr">
        <is>
          <t>PV of FCFF</t>
        </is>
      </c>
      <c r="B27" s="26" t="inlineStr">
        <is>
          <t>Rs cr</t>
        </is>
      </c>
      <c r="F27" s="51">
        <f>F19*F26</f>
        <v/>
      </c>
      <c r="G27" s="51">
        <f>G19*G26</f>
        <v/>
      </c>
      <c r="H27" s="51">
        <f>H19*H26</f>
        <v/>
      </c>
      <c r="I27" s="51">
        <f>I19*I26</f>
        <v/>
      </c>
      <c r="J27" s="51">
        <f>J19*J26</f>
        <v/>
      </c>
    </row>
    <row r="29">
      <c r="A29" s="30" t="inlineStr">
        <is>
          <t>TERMINAL VALUE &amp; ENTERPRISE VALUE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>
      <c r="A30" s="8" t="inlineStr">
        <is>
          <t>WACC</t>
        </is>
      </c>
      <c r="B30" s="26" t="inlineStr">
        <is>
          <t>%</t>
        </is>
      </c>
      <c r="C30" s="12">
        <f>WACC!C19</f>
        <v/>
      </c>
    </row>
    <row r="31">
      <c r="A31" s="8" t="inlineStr">
        <is>
          <t>Terminal growth</t>
        </is>
      </c>
      <c r="B31" s="26" t="inlineStr">
        <is>
          <t>%</t>
        </is>
      </c>
      <c r="C31" s="12">
        <f>Inputs!C67</f>
        <v/>
      </c>
    </row>
    <row r="32">
      <c r="A32" s="8" t="inlineStr">
        <is>
          <t>Final forecast year (N)</t>
        </is>
      </c>
      <c r="B32" s="26" t="inlineStr">
        <is>
          <t>#</t>
        </is>
      </c>
      <c r="C32" s="39" t="n">
        <v>5</v>
      </c>
    </row>
    <row r="33">
      <c r="A33" s="8" t="inlineStr">
        <is>
          <t>Terminal-year FCFF = (FCFF FY30E - excluded WC inflow) x (1+g)</t>
        </is>
      </c>
      <c r="B33" s="26" t="inlineStr">
        <is>
          <t>Rs cr</t>
        </is>
      </c>
      <c r="C33" s="11">
        <f>(J19-(1-Inputs!C72)*J17)*(1+C31)</f>
        <v/>
      </c>
    </row>
    <row r="34">
      <c r="A34" s="8" t="inlineStr">
        <is>
          <t>Sum of PV of FCFF (FY26E-FY30E)</t>
        </is>
      </c>
      <c r="B34" s="26" t="inlineStr">
        <is>
          <t>Rs cr</t>
        </is>
      </c>
      <c r="C34" s="45">
        <f>SUM(F27:J27)</f>
        <v/>
      </c>
    </row>
    <row r="36">
      <c r="A36" s="67" t="inlineStr">
        <is>
          <t>Method</t>
        </is>
      </c>
      <c r="B36" s="26" t="inlineStr"/>
      <c r="C36" s="68" t="inlineStr">
        <is>
          <t>Gordon growth</t>
        </is>
      </c>
      <c r="D36" s="68" t="inlineStr">
        <is>
          <t>Exit multiple</t>
        </is>
      </c>
    </row>
    <row r="37">
      <c r="A37" s="8" t="inlineStr">
        <is>
          <t>Terminal value (undiscounted)</t>
        </is>
      </c>
      <c r="B37" s="26" t="inlineStr">
        <is>
          <t>Rs cr</t>
        </is>
      </c>
      <c r="C37" s="45">
        <f>C33/(C30-C31)</f>
        <v/>
      </c>
      <c r="D37" s="11">
        <f>Inputs!C68*J8</f>
        <v/>
      </c>
    </row>
    <row r="38">
      <c r="A38" s="8" t="inlineStr">
        <is>
          <t>Discount period for TV (years)</t>
        </is>
      </c>
      <c r="B38" s="26" t="inlineStr">
        <is>
          <t>yrs</t>
        </is>
      </c>
      <c r="C38" s="65">
        <f>C32-0.5*Inputs!C70</f>
        <v/>
      </c>
      <c r="D38" s="63">
        <f>C32</f>
        <v/>
      </c>
    </row>
    <row r="39">
      <c r="A39" s="8" t="inlineStr">
        <is>
          <t>PV of terminal value</t>
        </is>
      </c>
      <c r="B39" s="26" t="inlineStr">
        <is>
          <t>Rs cr</t>
        </is>
      </c>
      <c r="C39" s="45">
        <f>C37/(1+C30)^C38</f>
        <v/>
      </c>
      <c r="D39" s="45">
        <f>D37/(1+C30)^D38</f>
        <v/>
      </c>
    </row>
    <row r="40">
      <c r="A40" s="6" t="inlineStr">
        <is>
          <t>ENTERPRISE VALUE</t>
        </is>
      </c>
      <c r="B40" s="26" t="inlineStr">
        <is>
          <t>Rs cr</t>
        </is>
      </c>
      <c r="C40" s="51">
        <f>C34+C39</f>
        <v/>
      </c>
      <c r="D40" s="51">
        <f>C34+D39</f>
        <v/>
      </c>
    </row>
    <row r="41">
      <c r="A41" s="8" t="inlineStr">
        <is>
          <t>PV of TV as % of EV</t>
        </is>
      </c>
      <c r="B41" s="26" t="inlineStr">
        <is>
          <t>%</t>
        </is>
      </c>
      <c r="C41" s="44">
        <f>C39/C40</f>
        <v/>
      </c>
      <c r="D41" s="44">
        <f>D39/D40</f>
        <v/>
      </c>
    </row>
    <row r="42">
      <c r="A42" s="8" t="inlineStr">
        <is>
          <t>Implied exit EV/EBITDA (Gordon) | implied perpetual growth (exit multiple)</t>
        </is>
      </c>
      <c r="B42" s="26" t="inlineStr">
        <is>
          <t>x / %</t>
        </is>
      </c>
      <c r="C42" s="69">
        <f>C37/J8</f>
        <v/>
      </c>
      <c r="D42" s="62">
        <f>(D37*C30-J19)/(D37+J19)</f>
        <v/>
      </c>
    </row>
    <row r="44">
      <c r="A44" s="30" t="inlineStr">
        <is>
          <t>ENTERPRISE VALUE TO EQUITY BRIDGE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</row>
    <row r="45">
      <c r="A45" s="8" t="inlineStr">
        <is>
          <t>Less: borrowings (nil - Infosys has no outstanding borrowings)</t>
        </is>
      </c>
      <c r="B45" s="26" t="inlineStr">
        <is>
          <t>Rs cr</t>
        </is>
      </c>
      <c r="C45" s="45" t="n">
        <v>0</v>
      </c>
      <c r="D45" s="45">
        <f>C45</f>
        <v/>
      </c>
    </row>
    <row r="46">
      <c r="A46" s="8" t="inlineStr">
        <is>
          <t>Less: other debt-like items</t>
        </is>
      </c>
      <c r="B46" s="26" t="inlineStr">
        <is>
          <t>Rs cr</t>
        </is>
      </c>
      <c r="C46" s="11">
        <f>-Inputs!C74</f>
        <v/>
      </c>
      <c r="D46" s="45">
        <f>C46</f>
        <v/>
      </c>
    </row>
    <row r="47">
      <c r="A47" s="8" t="inlineStr">
        <is>
          <t>Less: lease liabilities (only if lease switch = 1)</t>
        </is>
      </c>
      <c r="B47" s="26" t="inlineStr">
        <is>
          <t>Rs cr</t>
        </is>
      </c>
      <c r="C47" s="11">
        <f>-BS!E57*IF(Inputs!C71=1,1,0)</f>
        <v/>
      </c>
      <c r="D47" s="45">
        <f>C47</f>
        <v/>
      </c>
    </row>
    <row r="48">
      <c r="A48" s="8" t="inlineStr">
        <is>
          <t>Add: cash, current and non-current investments</t>
        </is>
      </c>
      <c r="B48" s="26" t="inlineStr">
        <is>
          <t>Rs cr</t>
        </is>
      </c>
      <c r="C48" s="11">
        <f>BS!E56</f>
        <v/>
      </c>
      <c r="D48" s="45">
        <f>C48</f>
        <v/>
      </c>
    </row>
    <row r="49">
      <c r="A49" s="8" t="inlineStr">
        <is>
          <t>Add: other (none)</t>
        </is>
      </c>
      <c r="B49" s="26" t="inlineStr">
        <is>
          <t>Rs cr</t>
        </is>
      </c>
      <c r="C49" s="45" t="n">
        <v>0</v>
      </c>
      <c r="D49" s="45">
        <f>C49</f>
        <v/>
      </c>
    </row>
    <row r="50">
      <c r="A50" s="8" t="inlineStr">
        <is>
          <t>Less: non-controlling interests (book x multiple)</t>
        </is>
      </c>
      <c r="B50" s="26" t="inlineStr">
        <is>
          <t>Rs cr</t>
        </is>
      </c>
      <c r="C50" s="11">
        <f>-BS!E35*Inputs!C73</f>
        <v/>
      </c>
      <c r="D50" s="45">
        <f>C50</f>
        <v/>
      </c>
    </row>
    <row r="51">
      <c r="A51" s="6" t="inlineStr">
        <is>
          <t>EQUITY VALUE (attributable to Infosys shareholders)</t>
        </is>
      </c>
      <c r="B51" s="26" t="inlineStr">
        <is>
          <t>Rs cr</t>
        </is>
      </c>
      <c r="C51" s="51">
        <f>C40+SUM(C45:C50)</f>
        <v/>
      </c>
      <c r="D51" s="51">
        <f>D40+SUM(D45:D50)</f>
        <v/>
      </c>
    </row>
    <row r="52">
      <c r="A52" s="8" t="inlineStr">
        <is>
          <t>Diluted shares (crore)</t>
        </is>
      </c>
      <c r="B52" s="26" t="inlineStr">
        <is>
          <t>crore</t>
        </is>
      </c>
      <c r="C52" s="52">
        <f>415.2</f>
        <v/>
      </c>
      <c r="D52" s="52">
        <f>C52</f>
        <v/>
      </c>
      <c r="L52" s="28" t="inlineStr">
        <is>
          <t>Diluted weighted average shares FY25: 415.2 crore (EPS note).</t>
        </is>
      </c>
    </row>
    <row r="53">
      <c r="A53" s="6" t="inlineStr">
        <is>
          <t>INTRINSIC VALUE PER SHARE (Rs)</t>
        </is>
      </c>
      <c r="B53" s="26" t="inlineStr">
        <is>
          <t>Rs</t>
        </is>
      </c>
      <c r="C53" s="47">
        <f>C51/C52</f>
        <v/>
      </c>
      <c r="D53" s="47">
        <f>D51/D52</f>
        <v/>
      </c>
    </row>
    <row r="55">
      <c r="A55" s="6" t="inlineStr">
        <is>
          <t>BLENDED VALUE PER SHARE (Rs)</t>
        </is>
      </c>
      <c r="B55" s="26" t="inlineStr">
        <is>
          <t>Rs</t>
        </is>
      </c>
      <c r="C55" s="7">
        <f>Inputs!C69*C53+(1-Inputs!C69)*D53</f>
        <v/>
      </c>
    </row>
    <row r="56">
      <c r="A56" s="8" t="inlineStr">
        <is>
          <t>Market price at valuation date (Rs)</t>
        </is>
      </c>
      <c r="B56" s="26" t="inlineStr">
        <is>
          <t>Rs</t>
        </is>
      </c>
      <c r="C56" s="9">
        <f>Inputs!C76</f>
        <v/>
      </c>
    </row>
    <row r="57">
      <c r="A57" s="6" t="inlineStr">
        <is>
          <t>Upside / (downside) vs market price</t>
        </is>
      </c>
      <c r="B57" s="26" t="inlineStr">
        <is>
          <t>%</t>
        </is>
      </c>
      <c r="C57" s="33">
        <f>C55/C56-1</f>
        <v/>
      </c>
    </row>
    <row r="58">
      <c r="A58" s="8" t="inlineStr">
        <is>
          <t xml:space="preserve">  Gordon growth only | Exit multiple only</t>
        </is>
      </c>
      <c r="B58" s="26" t="inlineStr">
        <is>
          <t>%</t>
        </is>
      </c>
      <c r="C58" s="44">
        <f>C53/C56-1</f>
        <v/>
      </c>
      <c r="D58" s="44">
        <f>D53/C56-1</f>
        <v/>
      </c>
    </row>
    <row r="60">
      <c r="A60" s="30" t="inlineStr">
        <is>
          <t>IMPLIED MULTIPLES</t>
        </is>
      </c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</row>
    <row r="61">
      <c r="A61" s="8" t="inlineStr">
        <is>
          <t>EV / FY25 EBITDA</t>
        </is>
      </c>
      <c r="B61" s="26" t="inlineStr">
        <is>
          <t>x</t>
        </is>
      </c>
      <c r="C61" s="70">
        <f>C40/E8</f>
        <v/>
      </c>
      <c r="D61" s="70">
        <f>D40/E8</f>
        <v/>
      </c>
    </row>
    <row r="62">
      <c r="A62" s="8" t="inlineStr">
        <is>
          <t>EV / FY26E EBITDA</t>
        </is>
      </c>
      <c r="B62" s="26" t="inlineStr">
        <is>
          <t>x</t>
        </is>
      </c>
      <c r="C62" s="70">
        <f>C40/F8</f>
        <v/>
      </c>
      <c r="D62" s="70">
        <f>D40/F8</f>
        <v/>
      </c>
    </row>
    <row r="63">
      <c r="A63" s="8" t="inlineStr">
        <is>
          <t>Blended price / FY26E EPS</t>
        </is>
      </c>
      <c r="B63" s="26" t="inlineStr">
        <is>
          <t>x</t>
        </is>
      </c>
      <c r="C63" s="14">
        <f>C55/IS!F32</f>
        <v/>
      </c>
    </row>
    <row r="64">
      <c r="A64" s="8" t="inlineStr">
        <is>
          <t>Blended price / FY25 EPS</t>
        </is>
      </c>
      <c r="B64" s="26" t="inlineStr">
        <is>
          <t>x</t>
        </is>
      </c>
      <c r="C64" s="14">
        <f>C55/IS!E32</f>
        <v/>
      </c>
    </row>
    <row r="65">
      <c r="A65" s="8" t="inlineStr">
        <is>
          <t>Market-implied EV at market price (Rs crore)</t>
        </is>
      </c>
      <c r="B65" s="26" t="inlineStr">
        <is>
          <t>Rs cr</t>
        </is>
      </c>
      <c r="C65" s="45">
        <f>C56*C52-SUM(C45:C50)</f>
        <v/>
      </c>
    </row>
    <row r="66">
      <c r="A66" s="8" t="inlineStr">
        <is>
          <t>Market EV / FY25 EBITDA</t>
        </is>
      </c>
      <c r="B66" s="26" t="inlineStr">
        <is>
          <t>x</t>
        </is>
      </c>
      <c r="C66" s="70">
        <f>C65/E8</f>
        <v/>
      </c>
    </row>
    <row r="67">
      <c r="A67" s="8" t="inlineStr">
        <is>
          <t>Market price / FY25 EPS</t>
        </is>
      </c>
      <c r="B67" s="26" t="inlineStr">
        <is>
          <t>x</t>
        </is>
      </c>
      <c r="C67" s="14">
        <f>C56/IS!E32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1" t="inlineStr">
        <is>
          <t>Infosys Limited - Sensitivity Analysis (live formulas, not data tables)</t>
        </is>
      </c>
    </row>
    <row r="2">
      <c r="A2" s="22" t="inlineStr">
        <is>
          <t>Each cell re-computes enterprise value, bridge and per-share value directly from the DCF cash flows. Highlighted cell = current base inputs.</t>
        </is>
      </c>
    </row>
    <row r="4">
      <c r="A4" s="71" t="inlineStr">
        <is>
          <t>1. Value per share (Rs) - Gordon growth method: WACC vs terminal growth</t>
        </is>
      </c>
    </row>
    <row r="5">
      <c r="A5" s="22" t="inlineStr">
        <is>
          <t>Rows: WACC   |   Columns: terminal growth</t>
        </is>
      </c>
    </row>
    <row r="6">
      <c r="B6" s="5" t="n"/>
      <c r="C6" s="72">
        <f>Inputs!$C$67-0.01</f>
        <v/>
      </c>
      <c r="D6" s="72">
        <f>Inputs!$C$67-0.005</f>
        <v/>
      </c>
      <c r="E6" s="72">
        <f>Inputs!$C$67</f>
        <v/>
      </c>
      <c r="F6" s="72">
        <f>Inputs!$C$67+0.005</f>
        <v/>
      </c>
      <c r="G6" s="72">
        <f>Inputs!$C$67+0.01</f>
        <v/>
      </c>
    </row>
    <row r="7">
      <c r="B7" s="72">
        <f>WACC!$C$19-0.01</f>
        <v/>
      </c>
      <c r="C7" s="73">
        <f>((DCF!$F$19/(1+$B7)^DCF!$F$25+DCF!$G$19/(1+$B7)^DCF!$G$25+DCF!$H$19/(1+$B7)^DCF!$H$25+DCF!$I$19/(1+$B7)^DCF!$I$25+DCF!$J$19/(1+$B7)^DCF!$J$25+(DCF!$J$19-(1-Inputs!$C$72)*DCF!$J$17)*(1+C$6)/($B7-C$6)/(1+$B7)^(5-0.5*Inputs!$C$70))+SUM(DCF!$C$45:$C$50))/DCF!$C$52</f>
        <v/>
      </c>
      <c r="D7" s="73">
        <f>((DCF!$F$19/(1+$B7)^DCF!$F$25+DCF!$G$19/(1+$B7)^DCF!$G$25+DCF!$H$19/(1+$B7)^DCF!$H$25+DCF!$I$19/(1+$B7)^DCF!$I$25+DCF!$J$19/(1+$B7)^DCF!$J$25+(DCF!$J$19-(1-Inputs!$C$72)*DCF!$J$17)*(1+D$6)/($B7-D$6)/(1+$B7)^(5-0.5*Inputs!$C$70))+SUM(DCF!$C$45:$C$50))/DCF!$C$52</f>
        <v/>
      </c>
      <c r="E7" s="73">
        <f>((DCF!$F$19/(1+$B7)^DCF!$F$25+DCF!$G$19/(1+$B7)^DCF!$G$25+DCF!$H$19/(1+$B7)^DCF!$H$25+DCF!$I$19/(1+$B7)^DCF!$I$25+DCF!$J$19/(1+$B7)^DCF!$J$25+(DCF!$J$19-(1-Inputs!$C$72)*DCF!$J$17)*(1+E$6)/($B7-E$6)/(1+$B7)^(5-0.5*Inputs!$C$70))+SUM(DCF!$C$45:$C$50))/DCF!$C$52</f>
        <v/>
      </c>
      <c r="F7" s="73">
        <f>((DCF!$F$19/(1+$B7)^DCF!$F$25+DCF!$G$19/(1+$B7)^DCF!$G$25+DCF!$H$19/(1+$B7)^DCF!$H$25+DCF!$I$19/(1+$B7)^DCF!$I$25+DCF!$J$19/(1+$B7)^DCF!$J$25+(DCF!$J$19-(1-Inputs!$C$72)*DCF!$J$17)*(1+F$6)/($B7-F$6)/(1+$B7)^(5-0.5*Inputs!$C$70))+SUM(DCF!$C$45:$C$50))/DCF!$C$52</f>
        <v/>
      </c>
      <c r="G7" s="73">
        <f>((DCF!$F$19/(1+$B7)^DCF!$F$25+DCF!$G$19/(1+$B7)^DCF!$G$25+DCF!$H$19/(1+$B7)^DCF!$H$25+DCF!$I$19/(1+$B7)^DCF!$I$25+DCF!$J$19/(1+$B7)^DCF!$J$25+(DCF!$J$19-(1-Inputs!$C$72)*DCF!$J$17)*(1+G$6)/($B7-G$6)/(1+$B7)^(5-0.5*Inputs!$C$70))+SUM(DCF!$C$45:$C$50))/DCF!$C$52</f>
        <v/>
      </c>
    </row>
    <row r="8">
      <c r="B8" s="72">
        <f>WACC!$C$19-0.005</f>
        <v/>
      </c>
      <c r="C8" s="73">
        <f>((DCF!$F$19/(1+$B8)^DCF!$F$25+DCF!$G$19/(1+$B8)^DCF!$G$25+DCF!$H$19/(1+$B8)^DCF!$H$25+DCF!$I$19/(1+$B8)^DCF!$I$25+DCF!$J$19/(1+$B8)^DCF!$J$25+(DCF!$J$19-(1-Inputs!$C$72)*DCF!$J$17)*(1+C$6)/($B8-C$6)/(1+$B8)^(5-0.5*Inputs!$C$70))+SUM(DCF!$C$45:$C$50))/DCF!$C$52</f>
        <v/>
      </c>
      <c r="D8" s="73">
        <f>((DCF!$F$19/(1+$B8)^DCF!$F$25+DCF!$G$19/(1+$B8)^DCF!$G$25+DCF!$H$19/(1+$B8)^DCF!$H$25+DCF!$I$19/(1+$B8)^DCF!$I$25+DCF!$J$19/(1+$B8)^DCF!$J$25+(DCF!$J$19-(1-Inputs!$C$72)*DCF!$J$17)*(1+D$6)/($B8-D$6)/(1+$B8)^(5-0.5*Inputs!$C$70))+SUM(DCF!$C$45:$C$50))/DCF!$C$52</f>
        <v/>
      </c>
      <c r="E8" s="73">
        <f>((DCF!$F$19/(1+$B8)^DCF!$F$25+DCF!$G$19/(1+$B8)^DCF!$G$25+DCF!$H$19/(1+$B8)^DCF!$H$25+DCF!$I$19/(1+$B8)^DCF!$I$25+DCF!$J$19/(1+$B8)^DCF!$J$25+(DCF!$J$19-(1-Inputs!$C$72)*DCF!$J$17)*(1+E$6)/($B8-E$6)/(1+$B8)^(5-0.5*Inputs!$C$70))+SUM(DCF!$C$45:$C$50))/DCF!$C$52</f>
        <v/>
      </c>
      <c r="F8" s="73">
        <f>((DCF!$F$19/(1+$B8)^DCF!$F$25+DCF!$G$19/(1+$B8)^DCF!$G$25+DCF!$H$19/(1+$B8)^DCF!$H$25+DCF!$I$19/(1+$B8)^DCF!$I$25+DCF!$J$19/(1+$B8)^DCF!$J$25+(DCF!$J$19-(1-Inputs!$C$72)*DCF!$J$17)*(1+F$6)/($B8-F$6)/(1+$B8)^(5-0.5*Inputs!$C$70))+SUM(DCF!$C$45:$C$50))/DCF!$C$52</f>
        <v/>
      </c>
      <c r="G8" s="73">
        <f>((DCF!$F$19/(1+$B8)^DCF!$F$25+DCF!$G$19/(1+$B8)^DCF!$G$25+DCF!$H$19/(1+$B8)^DCF!$H$25+DCF!$I$19/(1+$B8)^DCF!$I$25+DCF!$J$19/(1+$B8)^DCF!$J$25+(DCF!$J$19-(1-Inputs!$C$72)*DCF!$J$17)*(1+G$6)/($B8-G$6)/(1+$B8)^(5-0.5*Inputs!$C$70))+SUM(DCF!$C$45:$C$50))/DCF!$C$52</f>
        <v/>
      </c>
    </row>
    <row r="9">
      <c r="B9" s="72">
        <f>WACC!$C$19</f>
        <v/>
      </c>
      <c r="C9" s="73">
        <f>((DCF!$F$19/(1+$B9)^DCF!$F$25+DCF!$G$19/(1+$B9)^DCF!$G$25+DCF!$H$19/(1+$B9)^DCF!$H$25+DCF!$I$19/(1+$B9)^DCF!$I$25+DCF!$J$19/(1+$B9)^DCF!$J$25+(DCF!$J$19-(1-Inputs!$C$72)*DCF!$J$17)*(1+C$6)/($B9-C$6)/(1+$B9)^(5-0.5*Inputs!$C$70))+SUM(DCF!$C$45:$C$50))/DCF!$C$52</f>
        <v/>
      </c>
      <c r="D9" s="73">
        <f>((DCF!$F$19/(1+$B9)^DCF!$F$25+DCF!$G$19/(1+$B9)^DCF!$G$25+DCF!$H$19/(1+$B9)^DCF!$H$25+DCF!$I$19/(1+$B9)^DCF!$I$25+DCF!$J$19/(1+$B9)^DCF!$J$25+(DCF!$J$19-(1-Inputs!$C$72)*DCF!$J$17)*(1+D$6)/($B9-D$6)/(1+$B9)^(5-0.5*Inputs!$C$70))+SUM(DCF!$C$45:$C$50))/DCF!$C$52</f>
        <v/>
      </c>
      <c r="E9" s="74">
        <f>((DCF!$F$19/(1+$B9)^DCF!$F$25+DCF!$G$19/(1+$B9)^DCF!$G$25+DCF!$H$19/(1+$B9)^DCF!$H$25+DCF!$I$19/(1+$B9)^DCF!$I$25+DCF!$J$19/(1+$B9)^DCF!$J$25+(DCF!$J$19-(1-Inputs!$C$72)*DCF!$J$17)*(1+E$6)/($B9-E$6)/(1+$B9)^(5-0.5*Inputs!$C$70))+SUM(DCF!$C$45:$C$50))/DCF!$C$52</f>
        <v/>
      </c>
      <c r="F9" s="73">
        <f>((DCF!$F$19/(1+$B9)^DCF!$F$25+DCF!$G$19/(1+$B9)^DCF!$G$25+DCF!$H$19/(1+$B9)^DCF!$H$25+DCF!$I$19/(1+$B9)^DCF!$I$25+DCF!$J$19/(1+$B9)^DCF!$J$25+(DCF!$J$19-(1-Inputs!$C$72)*DCF!$J$17)*(1+F$6)/($B9-F$6)/(1+$B9)^(5-0.5*Inputs!$C$70))+SUM(DCF!$C$45:$C$50))/DCF!$C$52</f>
        <v/>
      </c>
      <c r="G9" s="73">
        <f>((DCF!$F$19/(1+$B9)^DCF!$F$25+DCF!$G$19/(1+$B9)^DCF!$G$25+DCF!$H$19/(1+$B9)^DCF!$H$25+DCF!$I$19/(1+$B9)^DCF!$I$25+DCF!$J$19/(1+$B9)^DCF!$J$25+(DCF!$J$19-(1-Inputs!$C$72)*DCF!$J$17)*(1+G$6)/($B9-G$6)/(1+$B9)^(5-0.5*Inputs!$C$70))+SUM(DCF!$C$45:$C$50))/DCF!$C$52</f>
        <v/>
      </c>
    </row>
    <row r="10">
      <c r="B10" s="72">
        <f>WACC!$C$19+0.005</f>
        <v/>
      </c>
      <c r="C10" s="73">
        <f>((DCF!$F$19/(1+$B10)^DCF!$F$25+DCF!$G$19/(1+$B10)^DCF!$G$25+DCF!$H$19/(1+$B10)^DCF!$H$25+DCF!$I$19/(1+$B10)^DCF!$I$25+DCF!$J$19/(1+$B10)^DCF!$J$25+(DCF!$J$19-(1-Inputs!$C$72)*DCF!$J$17)*(1+C$6)/($B10-C$6)/(1+$B10)^(5-0.5*Inputs!$C$70))+SUM(DCF!$C$45:$C$50))/DCF!$C$52</f>
        <v/>
      </c>
      <c r="D10" s="73">
        <f>((DCF!$F$19/(1+$B10)^DCF!$F$25+DCF!$G$19/(1+$B10)^DCF!$G$25+DCF!$H$19/(1+$B10)^DCF!$H$25+DCF!$I$19/(1+$B10)^DCF!$I$25+DCF!$J$19/(1+$B10)^DCF!$J$25+(DCF!$J$19-(1-Inputs!$C$72)*DCF!$J$17)*(1+D$6)/($B10-D$6)/(1+$B10)^(5-0.5*Inputs!$C$70))+SUM(DCF!$C$45:$C$50))/DCF!$C$52</f>
        <v/>
      </c>
      <c r="E10" s="73">
        <f>((DCF!$F$19/(1+$B10)^DCF!$F$25+DCF!$G$19/(1+$B10)^DCF!$G$25+DCF!$H$19/(1+$B10)^DCF!$H$25+DCF!$I$19/(1+$B10)^DCF!$I$25+DCF!$J$19/(1+$B10)^DCF!$J$25+(DCF!$J$19-(1-Inputs!$C$72)*DCF!$J$17)*(1+E$6)/($B10-E$6)/(1+$B10)^(5-0.5*Inputs!$C$70))+SUM(DCF!$C$45:$C$50))/DCF!$C$52</f>
        <v/>
      </c>
      <c r="F10" s="73">
        <f>((DCF!$F$19/(1+$B10)^DCF!$F$25+DCF!$G$19/(1+$B10)^DCF!$G$25+DCF!$H$19/(1+$B10)^DCF!$H$25+DCF!$I$19/(1+$B10)^DCF!$I$25+DCF!$J$19/(1+$B10)^DCF!$J$25+(DCF!$J$19-(1-Inputs!$C$72)*DCF!$J$17)*(1+F$6)/($B10-F$6)/(1+$B10)^(5-0.5*Inputs!$C$70))+SUM(DCF!$C$45:$C$50))/DCF!$C$52</f>
        <v/>
      </c>
      <c r="G10" s="73">
        <f>((DCF!$F$19/(1+$B10)^DCF!$F$25+DCF!$G$19/(1+$B10)^DCF!$G$25+DCF!$H$19/(1+$B10)^DCF!$H$25+DCF!$I$19/(1+$B10)^DCF!$I$25+DCF!$J$19/(1+$B10)^DCF!$J$25+(DCF!$J$19-(1-Inputs!$C$72)*DCF!$J$17)*(1+G$6)/($B10-G$6)/(1+$B10)^(5-0.5*Inputs!$C$70))+SUM(DCF!$C$45:$C$50))/DCF!$C$52</f>
        <v/>
      </c>
    </row>
    <row r="11">
      <c r="B11" s="72">
        <f>WACC!$C$19+0.01</f>
        <v/>
      </c>
      <c r="C11" s="73">
        <f>((DCF!$F$19/(1+$B11)^DCF!$F$25+DCF!$G$19/(1+$B11)^DCF!$G$25+DCF!$H$19/(1+$B11)^DCF!$H$25+DCF!$I$19/(1+$B11)^DCF!$I$25+DCF!$J$19/(1+$B11)^DCF!$J$25+(DCF!$J$19-(1-Inputs!$C$72)*DCF!$J$17)*(1+C$6)/($B11-C$6)/(1+$B11)^(5-0.5*Inputs!$C$70))+SUM(DCF!$C$45:$C$50))/DCF!$C$52</f>
        <v/>
      </c>
      <c r="D11" s="73">
        <f>((DCF!$F$19/(1+$B11)^DCF!$F$25+DCF!$G$19/(1+$B11)^DCF!$G$25+DCF!$H$19/(1+$B11)^DCF!$H$25+DCF!$I$19/(1+$B11)^DCF!$I$25+DCF!$J$19/(1+$B11)^DCF!$J$25+(DCF!$J$19-(1-Inputs!$C$72)*DCF!$J$17)*(1+D$6)/($B11-D$6)/(1+$B11)^(5-0.5*Inputs!$C$70))+SUM(DCF!$C$45:$C$50))/DCF!$C$52</f>
        <v/>
      </c>
      <c r="E11" s="73">
        <f>((DCF!$F$19/(1+$B11)^DCF!$F$25+DCF!$G$19/(1+$B11)^DCF!$G$25+DCF!$H$19/(1+$B11)^DCF!$H$25+DCF!$I$19/(1+$B11)^DCF!$I$25+DCF!$J$19/(1+$B11)^DCF!$J$25+(DCF!$J$19-(1-Inputs!$C$72)*DCF!$J$17)*(1+E$6)/($B11-E$6)/(1+$B11)^(5-0.5*Inputs!$C$70))+SUM(DCF!$C$45:$C$50))/DCF!$C$52</f>
        <v/>
      </c>
      <c r="F11" s="73">
        <f>((DCF!$F$19/(1+$B11)^DCF!$F$25+DCF!$G$19/(1+$B11)^DCF!$G$25+DCF!$H$19/(1+$B11)^DCF!$H$25+DCF!$I$19/(1+$B11)^DCF!$I$25+DCF!$J$19/(1+$B11)^DCF!$J$25+(DCF!$J$19-(1-Inputs!$C$72)*DCF!$J$17)*(1+F$6)/($B11-F$6)/(1+$B11)^(5-0.5*Inputs!$C$70))+SUM(DCF!$C$45:$C$50))/DCF!$C$52</f>
        <v/>
      </c>
      <c r="G11" s="73">
        <f>((DCF!$F$19/(1+$B11)^DCF!$F$25+DCF!$G$19/(1+$B11)^DCF!$G$25+DCF!$H$19/(1+$B11)^DCF!$H$25+DCF!$I$19/(1+$B11)^DCF!$I$25+DCF!$J$19/(1+$B11)^DCF!$J$25+(DCF!$J$19-(1-Inputs!$C$72)*DCF!$J$17)*(1+G$6)/($B11-G$6)/(1+$B11)^(5-0.5*Inputs!$C$70))+SUM(DCF!$C$45:$C$50))/DCF!$C$52</f>
        <v/>
      </c>
    </row>
    <row r="14">
      <c r="A14" s="71" t="inlineStr">
        <is>
          <t>2. Value per share (Rs) - exit-multiple method: WACC vs exit EV/EBITDA</t>
        </is>
      </c>
    </row>
    <row r="15">
      <c r="A15" s="22" t="inlineStr">
        <is>
          <t>Rows: WACC   |   Columns: exit multiple (x)</t>
        </is>
      </c>
    </row>
    <row r="16">
      <c r="B16" s="5" t="n"/>
      <c r="C16" s="75">
        <f>Inputs!$C$68-2</f>
        <v/>
      </c>
      <c r="D16" s="75">
        <f>Inputs!$C$68-1</f>
        <v/>
      </c>
      <c r="E16" s="75">
        <f>Inputs!$C$68</f>
        <v/>
      </c>
      <c r="F16" s="75">
        <f>Inputs!$C$68+1</f>
        <v/>
      </c>
      <c r="G16" s="75">
        <f>Inputs!$C$68+2</f>
        <v/>
      </c>
    </row>
    <row r="17">
      <c r="B17" s="72">
        <f>WACC!$C$19-0.01</f>
        <v/>
      </c>
      <c r="C17" s="73">
        <f>((DCF!$F$19/(1+$B17)^DCF!$F$25+DCF!$G$19/(1+$B17)^DCF!$G$25+DCF!$H$19/(1+$B17)^DCF!$H$25+DCF!$I$19/(1+$B17)^DCF!$I$25+DCF!$J$19/(1+$B17)^DCF!$J$25+C$16*DCF!$J$8/(1+$B17)^5)+SUM(DCF!$C$45:$C$50))/DCF!$C$52</f>
        <v/>
      </c>
      <c r="D17" s="73">
        <f>((DCF!$F$19/(1+$B17)^DCF!$F$25+DCF!$G$19/(1+$B17)^DCF!$G$25+DCF!$H$19/(1+$B17)^DCF!$H$25+DCF!$I$19/(1+$B17)^DCF!$I$25+DCF!$J$19/(1+$B17)^DCF!$J$25+D$16*DCF!$J$8/(1+$B17)^5)+SUM(DCF!$C$45:$C$50))/DCF!$C$52</f>
        <v/>
      </c>
      <c r="E17" s="73">
        <f>((DCF!$F$19/(1+$B17)^DCF!$F$25+DCF!$G$19/(1+$B17)^DCF!$G$25+DCF!$H$19/(1+$B17)^DCF!$H$25+DCF!$I$19/(1+$B17)^DCF!$I$25+DCF!$J$19/(1+$B17)^DCF!$J$25+E$16*DCF!$J$8/(1+$B17)^5)+SUM(DCF!$C$45:$C$50))/DCF!$C$52</f>
        <v/>
      </c>
      <c r="F17" s="73">
        <f>((DCF!$F$19/(1+$B17)^DCF!$F$25+DCF!$G$19/(1+$B17)^DCF!$G$25+DCF!$H$19/(1+$B17)^DCF!$H$25+DCF!$I$19/(1+$B17)^DCF!$I$25+DCF!$J$19/(1+$B17)^DCF!$J$25+F$16*DCF!$J$8/(1+$B17)^5)+SUM(DCF!$C$45:$C$50))/DCF!$C$52</f>
        <v/>
      </c>
      <c r="G17" s="73">
        <f>((DCF!$F$19/(1+$B17)^DCF!$F$25+DCF!$G$19/(1+$B17)^DCF!$G$25+DCF!$H$19/(1+$B17)^DCF!$H$25+DCF!$I$19/(1+$B17)^DCF!$I$25+DCF!$J$19/(1+$B17)^DCF!$J$25+G$16*DCF!$J$8/(1+$B17)^5)+SUM(DCF!$C$45:$C$50))/DCF!$C$52</f>
        <v/>
      </c>
    </row>
    <row r="18">
      <c r="B18" s="72">
        <f>WACC!$C$19-0.005</f>
        <v/>
      </c>
      <c r="C18" s="73">
        <f>((DCF!$F$19/(1+$B18)^DCF!$F$25+DCF!$G$19/(1+$B18)^DCF!$G$25+DCF!$H$19/(1+$B18)^DCF!$H$25+DCF!$I$19/(1+$B18)^DCF!$I$25+DCF!$J$19/(1+$B18)^DCF!$J$25+C$16*DCF!$J$8/(1+$B18)^5)+SUM(DCF!$C$45:$C$50))/DCF!$C$52</f>
        <v/>
      </c>
      <c r="D18" s="73">
        <f>((DCF!$F$19/(1+$B18)^DCF!$F$25+DCF!$G$19/(1+$B18)^DCF!$G$25+DCF!$H$19/(1+$B18)^DCF!$H$25+DCF!$I$19/(1+$B18)^DCF!$I$25+DCF!$J$19/(1+$B18)^DCF!$J$25+D$16*DCF!$J$8/(1+$B18)^5)+SUM(DCF!$C$45:$C$50))/DCF!$C$52</f>
        <v/>
      </c>
      <c r="E18" s="73">
        <f>((DCF!$F$19/(1+$B18)^DCF!$F$25+DCF!$G$19/(1+$B18)^DCF!$G$25+DCF!$H$19/(1+$B18)^DCF!$H$25+DCF!$I$19/(1+$B18)^DCF!$I$25+DCF!$J$19/(1+$B18)^DCF!$J$25+E$16*DCF!$J$8/(1+$B18)^5)+SUM(DCF!$C$45:$C$50))/DCF!$C$52</f>
        <v/>
      </c>
      <c r="F18" s="73">
        <f>((DCF!$F$19/(1+$B18)^DCF!$F$25+DCF!$G$19/(1+$B18)^DCF!$G$25+DCF!$H$19/(1+$B18)^DCF!$H$25+DCF!$I$19/(1+$B18)^DCF!$I$25+DCF!$J$19/(1+$B18)^DCF!$J$25+F$16*DCF!$J$8/(1+$B18)^5)+SUM(DCF!$C$45:$C$50))/DCF!$C$52</f>
        <v/>
      </c>
      <c r="G18" s="73">
        <f>((DCF!$F$19/(1+$B18)^DCF!$F$25+DCF!$G$19/(1+$B18)^DCF!$G$25+DCF!$H$19/(1+$B18)^DCF!$H$25+DCF!$I$19/(1+$B18)^DCF!$I$25+DCF!$J$19/(1+$B18)^DCF!$J$25+G$16*DCF!$J$8/(1+$B18)^5)+SUM(DCF!$C$45:$C$50))/DCF!$C$52</f>
        <v/>
      </c>
    </row>
    <row r="19">
      <c r="B19" s="72">
        <f>WACC!$C$19</f>
        <v/>
      </c>
      <c r="C19" s="73">
        <f>((DCF!$F$19/(1+$B19)^DCF!$F$25+DCF!$G$19/(1+$B19)^DCF!$G$25+DCF!$H$19/(1+$B19)^DCF!$H$25+DCF!$I$19/(1+$B19)^DCF!$I$25+DCF!$J$19/(1+$B19)^DCF!$J$25+C$16*DCF!$J$8/(1+$B19)^5)+SUM(DCF!$C$45:$C$50))/DCF!$C$52</f>
        <v/>
      </c>
      <c r="D19" s="73">
        <f>((DCF!$F$19/(1+$B19)^DCF!$F$25+DCF!$G$19/(1+$B19)^DCF!$G$25+DCF!$H$19/(1+$B19)^DCF!$H$25+DCF!$I$19/(1+$B19)^DCF!$I$25+DCF!$J$19/(1+$B19)^DCF!$J$25+D$16*DCF!$J$8/(1+$B19)^5)+SUM(DCF!$C$45:$C$50))/DCF!$C$52</f>
        <v/>
      </c>
      <c r="E19" s="74">
        <f>((DCF!$F$19/(1+$B19)^DCF!$F$25+DCF!$G$19/(1+$B19)^DCF!$G$25+DCF!$H$19/(1+$B19)^DCF!$H$25+DCF!$I$19/(1+$B19)^DCF!$I$25+DCF!$J$19/(1+$B19)^DCF!$J$25+E$16*DCF!$J$8/(1+$B19)^5)+SUM(DCF!$C$45:$C$50))/DCF!$C$52</f>
        <v/>
      </c>
      <c r="F19" s="73">
        <f>((DCF!$F$19/(1+$B19)^DCF!$F$25+DCF!$G$19/(1+$B19)^DCF!$G$25+DCF!$H$19/(1+$B19)^DCF!$H$25+DCF!$I$19/(1+$B19)^DCF!$I$25+DCF!$J$19/(1+$B19)^DCF!$J$25+F$16*DCF!$J$8/(1+$B19)^5)+SUM(DCF!$C$45:$C$50))/DCF!$C$52</f>
        <v/>
      </c>
      <c r="G19" s="73">
        <f>((DCF!$F$19/(1+$B19)^DCF!$F$25+DCF!$G$19/(1+$B19)^DCF!$G$25+DCF!$H$19/(1+$B19)^DCF!$H$25+DCF!$I$19/(1+$B19)^DCF!$I$25+DCF!$J$19/(1+$B19)^DCF!$J$25+G$16*DCF!$J$8/(1+$B19)^5)+SUM(DCF!$C$45:$C$50))/DCF!$C$52</f>
        <v/>
      </c>
    </row>
    <row r="20">
      <c r="B20" s="72">
        <f>WACC!$C$19+0.005</f>
        <v/>
      </c>
      <c r="C20" s="73">
        <f>((DCF!$F$19/(1+$B20)^DCF!$F$25+DCF!$G$19/(1+$B20)^DCF!$G$25+DCF!$H$19/(1+$B20)^DCF!$H$25+DCF!$I$19/(1+$B20)^DCF!$I$25+DCF!$J$19/(1+$B20)^DCF!$J$25+C$16*DCF!$J$8/(1+$B20)^5)+SUM(DCF!$C$45:$C$50))/DCF!$C$52</f>
        <v/>
      </c>
      <c r="D20" s="73">
        <f>((DCF!$F$19/(1+$B20)^DCF!$F$25+DCF!$G$19/(1+$B20)^DCF!$G$25+DCF!$H$19/(1+$B20)^DCF!$H$25+DCF!$I$19/(1+$B20)^DCF!$I$25+DCF!$J$19/(1+$B20)^DCF!$J$25+D$16*DCF!$J$8/(1+$B20)^5)+SUM(DCF!$C$45:$C$50))/DCF!$C$52</f>
        <v/>
      </c>
      <c r="E20" s="73">
        <f>((DCF!$F$19/(1+$B20)^DCF!$F$25+DCF!$G$19/(1+$B20)^DCF!$G$25+DCF!$H$19/(1+$B20)^DCF!$H$25+DCF!$I$19/(1+$B20)^DCF!$I$25+DCF!$J$19/(1+$B20)^DCF!$J$25+E$16*DCF!$J$8/(1+$B20)^5)+SUM(DCF!$C$45:$C$50))/DCF!$C$52</f>
        <v/>
      </c>
      <c r="F20" s="73">
        <f>((DCF!$F$19/(1+$B20)^DCF!$F$25+DCF!$G$19/(1+$B20)^DCF!$G$25+DCF!$H$19/(1+$B20)^DCF!$H$25+DCF!$I$19/(1+$B20)^DCF!$I$25+DCF!$J$19/(1+$B20)^DCF!$J$25+F$16*DCF!$J$8/(1+$B20)^5)+SUM(DCF!$C$45:$C$50))/DCF!$C$52</f>
        <v/>
      </c>
      <c r="G20" s="73">
        <f>((DCF!$F$19/(1+$B20)^DCF!$F$25+DCF!$G$19/(1+$B20)^DCF!$G$25+DCF!$H$19/(1+$B20)^DCF!$H$25+DCF!$I$19/(1+$B20)^DCF!$I$25+DCF!$J$19/(1+$B20)^DCF!$J$25+G$16*DCF!$J$8/(1+$B20)^5)+SUM(DCF!$C$45:$C$50))/DCF!$C$52</f>
        <v/>
      </c>
    </row>
    <row r="21">
      <c r="B21" s="72">
        <f>WACC!$C$19+0.01</f>
        <v/>
      </c>
      <c r="C21" s="73">
        <f>((DCF!$F$19/(1+$B21)^DCF!$F$25+DCF!$G$19/(1+$B21)^DCF!$G$25+DCF!$H$19/(1+$B21)^DCF!$H$25+DCF!$I$19/(1+$B21)^DCF!$I$25+DCF!$J$19/(1+$B21)^DCF!$J$25+C$16*DCF!$J$8/(1+$B21)^5)+SUM(DCF!$C$45:$C$50))/DCF!$C$52</f>
        <v/>
      </c>
      <c r="D21" s="73">
        <f>((DCF!$F$19/(1+$B21)^DCF!$F$25+DCF!$G$19/(1+$B21)^DCF!$G$25+DCF!$H$19/(1+$B21)^DCF!$H$25+DCF!$I$19/(1+$B21)^DCF!$I$25+DCF!$J$19/(1+$B21)^DCF!$J$25+D$16*DCF!$J$8/(1+$B21)^5)+SUM(DCF!$C$45:$C$50))/DCF!$C$52</f>
        <v/>
      </c>
      <c r="E21" s="73">
        <f>((DCF!$F$19/(1+$B21)^DCF!$F$25+DCF!$G$19/(1+$B21)^DCF!$G$25+DCF!$H$19/(1+$B21)^DCF!$H$25+DCF!$I$19/(1+$B21)^DCF!$I$25+DCF!$J$19/(1+$B21)^DCF!$J$25+E$16*DCF!$J$8/(1+$B21)^5)+SUM(DCF!$C$45:$C$50))/DCF!$C$52</f>
        <v/>
      </c>
      <c r="F21" s="73">
        <f>((DCF!$F$19/(1+$B21)^DCF!$F$25+DCF!$G$19/(1+$B21)^DCF!$G$25+DCF!$H$19/(1+$B21)^DCF!$H$25+DCF!$I$19/(1+$B21)^DCF!$I$25+DCF!$J$19/(1+$B21)^DCF!$J$25+F$16*DCF!$J$8/(1+$B21)^5)+SUM(DCF!$C$45:$C$50))/DCF!$C$52</f>
        <v/>
      </c>
      <c r="G21" s="73">
        <f>((DCF!$F$19/(1+$B21)^DCF!$F$25+DCF!$G$19/(1+$B21)^DCF!$G$25+DCF!$H$19/(1+$B21)^DCF!$H$25+DCF!$I$19/(1+$B21)^DCF!$I$25+DCF!$J$19/(1+$B21)^DCF!$J$25+G$16*DCF!$J$8/(1+$B21)^5)+SUM(DCF!$C$45:$C$50))/DCF!$C$52</f>
        <v/>
      </c>
    </row>
    <row r="24">
      <c r="A24" s="71" t="inlineStr">
        <is>
          <t>3. Upside / (downside) vs CMP - Gordon growth: WACC vs terminal growth</t>
        </is>
      </c>
    </row>
    <row r="25">
      <c r="A25" s="22" t="inlineStr">
        <is>
          <t>Rows: WACC   |   Columns: terminal growth</t>
        </is>
      </c>
    </row>
    <row r="26">
      <c r="B26" s="5" t="n"/>
      <c r="C26" s="72">
        <f>Inputs!$C$67-0.01</f>
        <v/>
      </c>
      <c r="D26" s="72">
        <f>Inputs!$C$67-0.005</f>
        <v/>
      </c>
      <c r="E26" s="72">
        <f>Inputs!$C$67</f>
        <v/>
      </c>
      <c r="F26" s="72">
        <f>Inputs!$C$67+0.005</f>
        <v/>
      </c>
      <c r="G26" s="72">
        <f>Inputs!$C$67+0.01</f>
        <v/>
      </c>
    </row>
    <row r="27">
      <c r="B27" s="72">
        <f>WACC!$C$19-0.01</f>
        <v/>
      </c>
      <c r="C27" s="76">
        <f>((DCF!$F$19/(1+$B27)^DCF!$F$25+DCF!$G$19/(1+$B27)^DCF!$G$25+DCF!$H$19/(1+$B27)^DCF!$H$25+DCF!$I$19/(1+$B27)^DCF!$I$25+DCF!$J$19/(1+$B27)^DCF!$J$25+(DCF!$J$19-(1-Inputs!$C$72)*DCF!$J$17)*(1+C$26)/($B27-C$26)/(1+$B27)^(5-0.5*Inputs!$C$70))+SUM(DCF!$C$45:$C$50))/DCF!$C$52/Inputs!$C$76-1</f>
        <v/>
      </c>
      <c r="D27" s="76">
        <f>((DCF!$F$19/(1+$B27)^DCF!$F$25+DCF!$G$19/(1+$B27)^DCF!$G$25+DCF!$H$19/(1+$B27)^DCF!$H$25+DCF!$I$19/(1+$B27)^DCF!$I$25+DCF!$J$19/(1+$B27)^DCF!$J$25+(DCF!$J$19-(1-Inputs!$C$72)*DCF!$J$17)*(1+D$26)/($B27-D$26)/(1+$B27)^(5-0.5*Inputs!$C$70))+SUM(DCF!$C$45:$C$50))/DCF!$C$52/Inputs!$C$76-1</f>
        <v/>
      </c>
      <c r="E27" s="76">
        <f>((DCF!$F$19/(1+$B27)^DCF!$F$25+DCF!$G$19/(1+$B27)^DCF!$G$25+DCF!$H$19/(1+$B27)^DCF!$H$25+DCF!$I$19/(1+$B27)^DCF!$I$25+DCF!$J$19/(1+$B27)^DCF!$J$25+(DCF!$J$19-(1-Inputs!$C$72)*DCF!$J$17)*(1+E$26)/($B27-E$26)/(1+$B27)^(5-0.5*Inputs!$C$70))+SUM(DCF!$C$45:$C$50))/DCF!$C$52/Inputs!$C$76-1</f>
        <v/>
      </c>
      <c r="F27" s="76">
        <f>((DCF!$F$19/(1+$B27)^DCF!$F$25+DCF!$G$19/(1+$B27)^DCF!$G$25+DCF!$H$19/(1+$B27)^DCF!$H$25+DCF!$I$19/(1+$B27)^DCF!$I$25+DCF!$J$19/(1+$B27)^DCF!$J$25+(DCF!$J$19-(1-Inputs!$C$72)*DCF!$J$17)*(1+F$26)/($B27-F$26)/(1+$B27)^(5-0.5*Inputs!$C$70))+SUM(DCF!$C$45:$C$50))/DCF!$C$52/Inputs!$C$76-1</f>
        <v/>
      </c>
      <c r="G27" s="76">
        <f>((DCF!$F$19/(1+$B27)^DCF!$F$25+DCF!$G$19/(1+$B27)^DCF!$G$25+DCF!$H$19/(1+$B27)^DCF!$H$25+DCF!$I$19/(1+$B27)^DCF!$I$25+DCF!$J$19/(1+$B27)^DCF!$J$25+(DCF!$J$19-(1-Inputs!$C$72)*DCF!$J$17)*(1+G$26)/($B27-G$26)/(1+$B27)^(5-0.5*Inputs!$C$70))+SUM(DCF!$C$45:$C$50))/DCF!$C$52/Inputs!$C$76-1</f>
        <v/>
      </c>
    </row>
    <row r="28">
      <c r="B28" s="72">
        <f>WACC!$C$19-0.005</f>
        <v/>
      </c>
      <c r="C28" s="76">
        <f>((DCF!$F$19/(1+$B28)^DCF!$F$25+DCF!$G$19/(1+$B28)^DCF!$G$25+DCF!$H$19/(1+$B28)^DCF!$H$25+DCF!$I$19/(1+$B28)^DCF!$I$25+DCF!$J$19/(1+$B28)^DCF!$J$25+(DCF!$J$19-(1-Inputs!$C$72)*DCF!$J$17)*(1+C$26)/($B28-C$26)/(1+$B28)^(5-0.5*Inputs!$C$70))+SUM(DCF!$C$45:$C$50))/DCF!$C$52/Inputs!$C$76-1</f>
        <v/>
      </c>
      <c r="D28" s="76">
        <f>((DCF!$F$19/(1+$B28)^DCF!$F$25+DCF!$G$19/(1+$B28)^DCF!$G$25+DCF!$H$19/(1+$B28)^DCF!$H$25+DCF!$I$19/(1+$B28)^DCF!$I$25+DCF!$J$19/(1+$B28)^DCF!$J$25+(DCF!$J$19-(1-Inputs!$C$72)*DCF!$J$17)*(1+D$26)/($B28-D$26)/(1+$B28)^(5-0.5*Inputs!$C$70))+SUM(DCF!$C$45:$C$50))/DCF!$C$52/Inputs!$C$76-1</f>
        <v/>
      </c>
      <c r="E28" s="76">
        <f>((DCF!$F$19/(1+$B28)^DCF!$F$25+DCF!$G$19/(1+$B28)^DCF!$G$25+DCF!$H$19/(1+$B28)^DCF!$H$25+DCF!$I$19/(1+$B28)^DCF!$I$25+DCF!$J$19/(1+$B28)^DCF!$J$25+(DCF!$J$19-(1-Inputs!$C$72)*DCF!$J$17)*(1+E$26)/($B28-E$26)/(1+$B28)^(5-0.5*Inputs!$C$70))+SUM(DCF!$C$45:$C$50))/DCF!$C$52/Inputs!$C$76-1</f>
        <v/>
      </c>
      <c r="F28" s="76">
        <f>((DCF!$F$19/(1+$B28)^DCF!$F$25+DCF!$G$19/(1+$B28)^DCF!$G$25+DCF!$H$19/(1+$B28)^DCF!$H$25+DCF!$I$19/(1+$B28)^DCF!$I$25+DCF!$J$19/(1+$B28)^DCF!$J$25+(DCF!$J$19-(1-Inputs!$C$72)*DCF!$J$17)*(1+F$26)/($B28-F$26)/(1+$B28)^(5-0.5*Inputs!$C$70))+SUM(DCF!$C$45:$C$50))/DCF!$C$52/Inputs!$C$76-1</f>
        <v/>
      </c>
      <c r="G28" s="76">
        <f>((DCF!$F$19/(1+$B28)^DCF!$F$25+DCF!$G$19/(1+$B28)^DCF!$G$25+DCF!$H$19/(1+$B28)^DCF!$H$25+DCF!$I$19/(1+$B28)^DCF!$I$25+DCF!$J$19/(1+$B28)^DCF!$J$25+(DCF!$J$19-(1-Inputs!$C$72)*DCF!$J$17)*(1+G$26)/($B28-G$26)/(1+$B28)^(5-0.5*Inputs!$C$70))+SUM(DCF!$C$45:$C$50))/DCF!$C$52/Inputs!$C$76-1</f>
        <v/>
      </c>
    </row>
    <row r="29">
      <c r="B29" s="72">
        <f>WACC!$C$19</f>
        <v/>
      </c>
      <c r="C29" s="76">
        <f>((DCF!$F$19/(1+$B29)^DCF!$F$25+DCF!$G$19/(1+$B29)^DCF!$G$25+DCF!$H$19/(1+$B29)^DCF!$H$25+DCF!$I$19/(1+$B29)^DCF!$I$25+DCF!$J$19/(1+$B29)^DCF!$J$25+(DCF!$J$19-(1-Inputs!$C$72)*DCF!$J$17)*(1+C$26)/($B29-C$26)/(1+$B29)^(5-0.5*Inputs!$C$70))+SUM(DCF!$C$45:$C$50))/DCF!$C$52/Inputs!$C$76-1</f>
        <v/>
      </c>
      <c r="D29" s="76">
        <f>((DCF!$F$19/(1+$B29)^DCF!$F$25+DCF!$G$19/(1+$B29)^DCF!$G$25+DCF!$H$19/(1+$B29)^DCF!$H$25+DCF!$I$19/(1+$B29)^DCF!$I$25+DCF!$J$19/(1+$B29)^DCF!$J$25+(DCF!$J$19-(1-Inputs!$C$72)*DCF!$J$17)*(1+D$26)/($B29-D$26)/(1+$B29)^(5-0.5*Inputs!$C$70))+SUM(DCF!$C$45:$C$50))/DCF!$C$52/Inputs!$C$76-1</f>
        <v/>
      </c>
      <c r="E29" s="77">
        <f>((DCF!$F$19/(1+$B29)^DCF!$F$25+DCF!$G$19/(1+$B29)^DCF!$G$25+DCF!$H$19/(1+$B29)^DCF!$H$25+DCF!$I$19/(1+$B29)^DCF!$I$25+DCF!$J$19/(1+$B29)^DCF!$J$25+(DCF!$J$19-(1-Inputs!$C$72)*DCF!$J$17)*(1+E$26)/($B29-E$26)/(1+$B29)^(5-0.5*Inputs!$C$70))+SUM(DCF!$C$45:$C$50))/DCF!$C$52/Inputs!$C$76-1</f>
        <v/>
      </c>
      <c r="F29" s="76">
        <f>((DCF!$F$19/(1+$B29)^DCF!$F$25+DCF!$G$19/(1+$B29)^DCF!$G$25+DCF!$H$19/(1+$B29)^DCF!$H$25+DCF!$I$19/(1+$B29)^DCF!$I$25+DCF!$J$19/(1+$B29)^DCF!$J$25+(DCF!$J$19-(1-Inputs!$C$72)*DCF!$J$17)*(1+F$26)/($B29-F$26)/(1+$B29)^(5-0.5*Inputs!$C$70))+SUM(DCF!$C$45:$C$50))/DCF!$C$52/Inputs!$C$76-1</f>
        <v/>
      </c>
      <c r="G29" s="76">
        <f>((DCF!$F$19/(1+$B29)^DCF!$F$25+DCF!$G$19/(1+$B29)^DCF!$G$25+DCF!$H$19/(1+$B29)^DCF!$H$25+DCF!$I$19/(1+$B29)^DCF!$I$25+DCF!$J$19/(1+$B29)^DCF!$J$25+(DCF!$J$19-(1-Inputs!$C$72)*DCF!$J$17)*(1+G$26)/($B29-G$26)/(1+$B29)^(5-0.5*Inputs!$C$70))+SUM(DCF!$C$45:$C$50))/DCF!$C$52/Inputs!$C$76-1</f>
        <v/>
      </c>
    </row>
    <row r="30">
      <c r="B30" s="72">
        <f>WACC!$C$19+0.005</f>
        <v/>
      </c>
      <c r="C30" s="76">
        <f>((DCF!$F$19/(1+$B30)^DCF!$F$25+DCF!$G$19/(1+$B30)^DCF!$G$25+DCF!$H$19/(1+$B30)^DCF!$H$25+DCF!$I$19/(1+$B30)^DCF!$I$25+DCF!$J$19/(1+$B30)^DCF!$J$25+(DCF!$J$19-(1-Inputs!$C$72)*DCF!$J$17)*(1+C$26)/($B30-C$26)/(1+$B30)^(5-0.5*Inputs!$C$70))+SUM(DCF!$C$45:$C$50))/DCF!$C$52/Inputs!$C$76-1</f>
        <v/>
      </c>
      <c r="D30" s="76">
        <f>((DCF!$F$19/(1+$B30)^DCF!$F$25+DCF!$G$19/(1+$B30)^DCF!$G$25+DCF!$H$19/(1+$B30)^DCF!$H$25+DCF!$I$19/(1+$B30)^DCF!$I$25+DCF!$J$19/(1+$B30)^DCF!$J$25+(DCF!$J$19-(1-Inputs!$C$72)*DCF!$J$17)*(1+D$26)/($B30-D$26)/(1+$B30)^(5-0.5*Inputs!$C$70))+SUM(DCF!$C$45:$C$50))/DCF!$C$52/Inputs!$C$76-1</f>
        <v/>
      </c>
      <c r="E30" s="76">
        <f>((DCF!$F$19/(1+$B30)^DCF!$F$25+DCF!$G$19/(1+$B30)^DCF!$G$25+DCF!$H$19/(1+$B30)^DCF!$H$25+DCF!$I$19/(1+$B30)^DCF!$I$25+DCF!$J$19/(1+$B30)^DCF!$J$25+(DCF!$J$19-(1-Inputs!$C$72)*DCF!$J$17)*(1+E$26)/($B30-E$26)/(1+$B30)^(5-0.5*Inputs!$C$70))+SUM(DCF!$C$45:$C$50))/DCF!$C$52/Inputs!$C$76-1</f>
        <v/>
      </c>
      <c r="F30" s="76">
        <f>((DCF!$F$19/(1+$B30)^DCF!$F$25+DCF!$G$19/(1+$B30)^DCF!$G$25+DCF!$H$19/(1+$B30)^DCF!$H$25+DCF!$I$19/(1+$B30)^DCF!$I$25+DCF!$J$19/(1+$B30)^DCF!$J$25+(DCF!$J$19-(1-Inputs!$C$72)*DCF!$J$17)*(1+F$26)/($B30-F$26)/(1+$B30)^(5-0.5*Inputs!$C$70))+SUM(DCF!$C$45:$C$50))/DCF!$C$52/Inputs!$C$76-1</f>
        <v/>
      </c>
      <c r="G30" s="76">
        <f>((DCF!$F$19/(1+$B30)^DCF!$F$25+DCF!$G$19/(1+$B30)^DCF!$G$25+DCF!$H$19/(1+$B30)^DCF!$H$25+DCF!$I$19/(1+$B30)^DCF!$I$25+DCF!$J$19/(1+$B30)^DCF!$J$25+(DCF!$J$19-(1-Inputs!$C$72)*DCF!$J$17)*(1+G$26)/($B30-G$26)/(1+$B30)^(5-0.5*Inputs!$C$70))+SUM(DCF!$C$45:$C$50))/DCF!$C$52/Inputs!$C$76-1</f>
        <v/>
      </c>
    </row>
    <row r="31">
      <c r="B31" s="72">
        <f>WACC!$C$19+0.01</f>
        <v/>
      </c>
      <c r="C31" s="76">
        <f>((DCF!$F$19/(1+$B31)^DCF!$F$25+DCF!$G$19/(1+$B31)^DCF!$G$25+DCF!$H$19/(1+$B31)^DCF!$H$25+DCF!$I$19/(1+$B31)^DCF!$I$25+DCF!$J$19/(1+$B31)^DCF!$J$25+(DCF!$J$19-(1-Inputs!$C$72)*DCF!$J$17)*(1+C$26)/($B31-C$26)/(1+$B31)^(5-0.5*Inputs!$C$70))+SUM(DCF!$C$45:$C$50))/DCF!$C$52/Inputs!$C$76-1</f>
        <v/>
      </c>
      <c r="D31" s="76">
        <f>((DCF!$F$19/(1+$B31)^DCF!$F$25+DCF!$G$19/(1+$B31)^DCF!$G$25+DCF!$H$19/(1+$B31)^DCF!$H$25+DCF!$I$19/(1+$B31)^DCF!$I$25+DCF!$J$19/(1+$B31)^DCF!$J$25+(DCF!$J$19-(1-Inputs!$C$72)*DCF!$J$17)*(1+D$26)/($B31-D$26)/(1+$B31)^(5-0.5*Inputs!$C$70))+SUM(DCF!$C$45:$C$50))/DCF!$C$52/Inputs!$C$76-1</f>
        <v/>
      </c>
      <c r="E31" s="76">
        <f>((DCF!$F$19/(1+$B31)^DCF!$F$25+DCF!$G$19/(1+$B31)^DCF!$G$25+DCF!$H$19/(1+$B31)^DCF!$H$25+DCF!$I$19/(1+$B31)^DCF!$I$25+DCF!$J$19/(1+$B31)^DCF!$J$25+(DCF!$J$19-(1-Inputs!$C$72)*DCF!$J$17)*(1+E$26)/($B31-E$26)/(1+$B31)^(5-0.5*Inputs!$C$70))+SUM(DCF!$C$45:$C$50))/DCF!$C$52/Inputs!$C$76-1</f>
        <v/>
      </c>
      <c r="F31" s="76">
        <f>((DCF!$F$19/(1+$B31)^DCF!$F$25+DCF!$G$19/(1+$B31)^DCF!$G$25+DCF!$H$19/(1+$B31)^DCF!$H$25+DCF!$I$19/(1+$B31)^DCF!$I$25+DCF!$J$19/(1+$B31)^DCF!$J$25+(DCF!$J$19-(1-Inputs!$C$72)*DCF!$J$17)*(1+F$26)/($B31-F$26)/(1+$B31)^(5-0.5*Inputs!$C$70))+SUM(DCF!$C$45:$C$50))/DCF!$C$52/Inputs!$C$76-1</f>
        <v/>
      </c>
      <c r="G31" s="76">
        <f>((DCF!$F$19/(1+$B31)^DCF!$F$25+DCF!$G$19/(1+$B31)^DCF!$G$25+DCF!$H$19/(1+$B31)^DCF!$H$25+DCF!$I$19/(1+$B31)^DCF!$I$25+DCF!$J$19/(1+$B31)^DCF!$J$25+(DCF!$J$19-(1-Inputs!$C$72)*DCF!$J$17)*(1+G$26)/($B31-G$26)/(1+$B31)^(5-0.5*Inputs!$C$70))+SUM(DCF!$C$45:$C$50))/DCF!$C$52/Inputs!$C$76-1</f>
        <v/>
      </c>
    </row>
    <row r="34">
      <c r="A34" s="71" t="inlineStr">
        <is>
          <t>4. Value per share (Rs) - Gordon growth: equity beta vs equity risk premium (WACC recomputed)</t>
        </is>
      </c>
    </row>
    <row r="35">
      <c r="A35" s="22" t="inlineStr">
        <is>
          <t>Rows: equity beta   |   Columns: ERP.  Cost of debt and capital structure held at WACC-sheet values.</t>
        </is>
      </c>
    </row>
    <row r="36">
      <c r="B36" s="5" t="n"/>
      <c r="C36" s="78" t="n">
        <v>0.045</v>
      </c>
      <c r="D36" s="78" t="n">
        <v>0.05</v>
      </c>
      <c r="E36" s="78" t="n">
        <v>0.055</v>
      </c>
      <c r="F36" s="78" t="n">
        <v>0.06</v>
      </c>
      <c r="G36" s="78" t="n">
        <v>0.065</v>
      </c>
    </row>
    <row r="37">
      <c r="B37" s="79" t="n">
        <v>0.7</v>
      </c>
      <c r="C37" s="80">
        <f>((DCF!$F$19/(1+(WACC!$C$18*(WACC!$C$7+$B37*C$36+WACC!$C$10)+WACC!$C$17*WACC!$C$15))^DCF!$F$25+DCF!$G$19/(1+(WACC!$C$18*(WACC!$C$7+$B37*C$36+WACC!$C$10)+WACC!$C$17*WACC!$C$15))^DCF!$G$25+DCF!$H$19/(1+(WACC!$C$18*(WACC!$C$7+$B37*C$36+WACC!$C$10)+WACC!$C$17*WACC!$C$15))^DCF!$H$25+DCF!$I$19/(1+(WACC!$C$18*(WACC!$C$7+$B37*C$36+WACC!$C$10)+WACC!$C$17*WACC!$C$15))^DCF!$I$25+DCF!$J$19/(1+(WACC!$C$18*(WACC!$C$7+$B37*C$36+WACC!$C$10)+WACC!$C$17*WACC!$C$15))^DCF!$J$25+(DCF!$J$19-(1-Inputs!$C$72)*DCF!$J$17)*(1+Inputs!$C$67)/((WACC!$C$18*(WACC!$C$7+$B37*C$36+WACC!$C$10)+WACC!$C$17*WACC!$C$15)-Inputs!$C$67)/(1+(WACC!$C$18*(WACC!$C$7+$B37*C$36+WACC!$C$10)+WACC!$C$17*WACC!$C$15))^(5-0.5*Inputs!$C$70))+SUM(DCF!$C$45:$C$50))/DCF!$C$52</f>
        <v/>
      </c>
      <c r="D37" s="80">
        <f>((DCF!$F$19/(1+(WACC!$C$18*(WACC!$C$7+$B37*D$36+WACC!$C$10)+WACC!$C$17*WACC!$C$15))^DCF!$F$25+DCF!$G$19/(1+(WACC!$C$18*(WACC!$C$7+$B37*D$36+WACC!$C$10)+WACC!$C$17*WACC!$C$15))^DCF!$G$25+DCF!$H$19/(1+(WACC!$C$18*(WACC!$C$7+$B37*D$36+WACC!$C$10)+WACC!$C$17*WACC!$C$15))^DCF!$H$25+DCF!$I$19/(1+(WACC!$C$18*(WACC!$C$7+$B37*D$36+WACC!$C$10)+WACC!$C$17*WACC!$C$15))^DCF!$I$25+DCF!$J$19/(1+(WACC!$C$18*(WACC!$C$7+$B37*D$36+WACC!$C$10)+WACC!$C$17*WACC!$C$15))^DCF!$J$25+(DCF!$J$19-(1-Inputs!$C$72)*DCF!$J$17)*(1+Inputs!$C$67)/((WACC!$C$18*(WACC!$C$7+$B37*D$36+WACC!$C$10)+WACC!$C$17*WACC!$C$15)-Inputs!$C$67)/(1+(WACC!$C$18*(WACC!$C$7+$B37*D$36+WACC!$C$10)+WACC!$C$17*WACC!$C$15))^(5-0.5*Inputs!$C$70))+SUM(DCF!$C$45:$C$50))/DCF!$C$52</f>
        <v/>
      </c>
      <c r="E37" s="80">
        <f>((DCF!$F$19/(1+(WACC!$C$18*(WACC!$C$7+$B37*E$36+WACC!$C$10)+WACC!$C$17*WACC!$C$15))^DCF!$F$25+DCF!$G$19/(1+(WACC!$C$18*(WACC!$C$7+$B37*E$36+WACC!$C$10)+WACC!$C$17*WACC!$C$15))^DCF!$G$25+DCF!$H$19/(1+(WACC!$C$18*(WACC!$C$7+$B37*E$36+WACC!$C$10)+WACC!$C$17*WACC!$C$15))^DCF!$H$25+DCF!$I$19/(1+(WACC!$C$18*(WACC!$C$7+$B37*E$36+WACC!$C$10)+WACC!$C$17*WACC!$C$15))^DCF!$I$25+DCF!$J$19/(1+(WACC!$C$18*(WACC!$C$7+$B37*E$36+WACC!$C$10)+WACC!$C$17*WACC!$C$15))^DCF!$J$25+(DCF!$J$19-(1-Inputs!$C$72)*DCF!$J$17)*(1+Inputs!$C$67)/((WACC!$C$18*(WACC!$C$7+$B37*E$36+WACC!$C$10)+WACC!$C$17*WACC!$C$15)-Inputs!$C$67)/(1+(WACC!$C$18*(WACC!$C$7+$B37*E$36+WACC!$C$10)+WACC!$C$17*WACC!$C$15))^(5-0.5*Inputs!$C$70))+SUM(DCF!$C$45:$C$50))/DCF!$C$52</f>
        <v/>
      </c>
      <c r="F37" s="80">
        <f>((DCF!$F$19/(1+(WACC!$C$18*(WACC!$C$7+$B37*F$36+WACC!$C$10)+WACC!$C$17*WACC!$C$15))^DCF!$F$25+DCF!$G$19/(1+(WACC!$C$18*(WACC!$C$7+$B37*F$36+WACC!$C$10)+WACC!$C$17*WACC!$C$15))^DCF!$G$25+DCF!$H$19/(1+(WACC!$C$18*(WACC!$C$7+$B37*F$36+WACC!$C$10)+WACC!$C$17*WACC!$C$15))^DCF!$H$25+DCF!$I$19/(1+(WACC!$C$18*(WACC!$C$7+$B37*F$36+WACC!$C$10)+WACC!$C$17*WACC!$C$15))^DCF!$I$25+DCF!$J$19/(1+(WACC!$C$18*(WACC!$C$7+$B37*F$36+WACC!$C$10)+WACC!$C$17*WACC!$C$15))^DCF!$J$25+(DCF!$J$19-(1-Inputs!$C$72)*DCF!$J$17)*(1+Inputs!$C$67)/((WACC!$C$18*(WACC!$C$7+$B37*F$36+WACC!$C$10)+WACC!$C$17*WACC!$C$15)-Inputs!$C$67)/(1+(WACC!$C$18*(WACC!$C$7+$B37*F$36+WACC!$C$10)+WACC!$C$17*WACC!$C$15))^(5-0.5*Inputs!$C$70))+SUM(DCF!$C$45:$C$50))/DCF!$C$52</f>
        <v/>
      </c>
      <c r="G37" s="80">
        <f>((DCF!$F$19/(1+(WACC!$C$18*(WACC!$C$7+$B37*G$36+WACC!$C$10)+WACC!$C$17*WACC!$C$15))^DCF!$F$25+DCF!$G$19/(1+(WACC!$C$18*(WACC!$C$7+$B37*G$36+WACC!$C$10)+WACC!$C$17*WACC!$C$15))^DCF!$G$25+DCF!$H$19/(1+(WACC!$C$18*(WACC!$C$7+$B37*G$36+WACC!$C$10)+WACC!$C$17*WACC!$C$15))^DCF!$H$25+DCF!$I$19/(1+(WACC!$C$18*(WACC!$C$7+$B37*G$36+WACC!$C$10)+WACC!$C$17*WACC!$C$15))^DCF!$I$25+DCF!$J$19/(1+(WACC!$C$18*(WACC!$C$7+$B37*G$36+WACC!$C$10)+WACC!$C$17*WACC!$C$15))^DCF!$J$25+(DCF!$J$19-(1-Inputs!$C$72)*DCF!$J$17)*(1+Inputs!$C$67)/((WACC!$C$18*(WACC!$C$7+$B37*G$36+WACC!$C$10)+WACC!$C$17*WACC!$C$15)-Inputs!$C$67)/(1+(WACC!$C$18*(WACC!$C$7+$B37*G$36+WACC!$C$10)+WACC!$C$17*WACC!$C$15))^(5-0.5*Inputs!$C$70))+SUM(DCF!$C$45:$C$50))/DCF!$C$52</f>
        <v/>
      </c>
    </row>
    <row r="38">
      <c r="B38" s="79" t="n">
        <v>0.8</v>
      </c>
      <c r="C38" s="80">
        <f>((DCF!$F$19/(1+(WACC!$C$18*(WACC!$C$7+$B38*C$36+WACC!$C$10)+WACC!$C$17*WACC!$C$15))^DCF!$F$25+DCF!$G$19/(1+(WACC!$C$18*(WACC!$C$7+$B38*C$36+WACC!$C$10)+WACC!$C$17*WACC!$C$15))^DCF!$G$25+DCF!$H$19/(1+(WACC!$C$18*(WACC!$C$7+$B38*C$36+WACC!$C$10)+WACC!$C$17*WACC!$C$15))^DCF!$H$25+DCF!$I$19/(1+(WACC!$C$18*(WACC!$C$7+$B38*C$36+WACC!$C$10)+WACC!$C$17*WACC!$C$15))^DCF!$I$25+DCF!$J$19/(1+(WACC!$C$18*(WACC!$C$7+$B38*C$36+WACC!$C$10)+WACC!$C$17*WACC!$C$15))^DCF!$J$25+(DCF!$J$19-(1-Inputs!$C$72)*DCF!$J$17)*(1+Inputs!$C$67)/((WACC!$C$18*(WACC!$C$7+$B38*C$36+WACC!$C$10)+WACC!$C$17*WACC!$C$15)-Inputs!$C$67)/(1+(WACC!$C$18*(WACC!$C$7+$B38*C$36+WACC!$C$10)+WACC!$C$17*WACC!$C$15))^(5-0.5*Inputs!$C$70))+SUM(DCF!$C$45:$C$50))/DCF!$C$52</f>
        <v/>
      </c>
      <c r="D38" s="80">
        <f>((DCF!$F$19/(1+(WACC!$C$18*(WACC!$C$7+$B38*D$36+WACC!$C$10)+WACC!$C$17*WACC!$C$15))^DCF!$F$25+DCF!$G$19/(1+(WACC!$C$18*(WACC!$C$7+$B38*D$36+WACC!$C$10)+WACC!$C$17*WACC!$C$15))^DCF!$G$25+DCF!$H$19/(1+(WACC!$C$18*(WACC!$C$7+$B38*D$36+WACC!$C$10)+WACC!$C$17*WACC!$C$15))^DCF!$H$25+DCF!$I$19/(1+(WACC!$C$18*(WACC!$C$7+$B38*D$36+WACC!$C$10)+WACC!$C$17*WACC!$C$15))^DCF!$I$25+DCF!$J$19/(1+(WACC!$C$18*(WACC!$C$7+$B38*D$36+WACC!$C$10)+WACC!$C$17*WACC!$C$15))^DCF!$J$25+(DCF!$J$19-(1-Inputs!$C$72)*DCF!$J$17)*(1+Inputs!$C$67)/((WACC!$C$18*(WACC!$C$7+$B38*D$36+WACC!$C$10)+WACC!$C$17*WACC!$C$15)-Inputs!$C$67)/(1+(WACC!$C$18*(WACC!$C$7+$B38*D$36+WACC!$C$10)+WACC!$C$17*WACC!$C$15))^(5-0.5*Inputs!$C$70))+SUM(DCF!$C$45:$C$50))/DCF!$C$52</f>
        <v/>
      </c>
      <c r="E38" s="80">
        <f>((DCF!$F$19/(1+(WACC!$C$18*(WACC!$C$7+$B38*E$36+WACC!$C$10)+WACC!$C$17*WACC!$C$15))^DCF!$F$25+DCF!$G$19/(1+(WACC!$C$18*(WACC!$C$7+$B38*E$36+WACC!$C$10)+WACC!$C$17*WACC!$C$15))^DCF!$G$25+DCF!$H$19/(1+(WACC!$C$18*(WACC!$C$7+$B38*E$36+WACC!$C$10)+WACC!$C$17*WACC!$C$15))^DCF!$H$25+DCF!$I$19/(1+(WACC!$C$18*(WACC!$C$7+$B38*E$36+WACC!$C$10)+WACC!$C$17*WACC!$C$15))^DCF!$I$25+DCF!$J$19/(1+(WACC!$C$18*(WACC!$C$7+$B38*E$36+WACC!$C$10)+WACC!$C$17*WACC!$C$15))^DCF!$J$25+(DCF!$J$19-(1-Inputs!$C$72)*DCF!$J$17)*(1+Inputs!$C$67)/((WACC!$C$18*(WACC!$C$7+$B38*E$36+WACC!$C$10)+WACC!$C$17*WACC!$C$15)-Inputs!$C$67)/(1+(WACC!$C$18*(WACC!$C$7+$B38*E$36+WACC!$C$10)+WACC!$C$17*WACC!$C$15))^(5-0.5*Inputs!$C$70))+SUM(DCF!$C$45:$C$50))/DCF!$C$52</f>
        <v/>
      </c>
      <c r="F38" s="80">
        <f>((DCF!$F$19/(1+(WACC!$C$18*(WACC!$C$7+$B38*F$36+WACC!$C$10)+WACC!$C$17*WACC!$C$15))^DCF!$F$25+DCF!$G$19/(1+(WACC!$C$18*(WACC!$C$7+$B38*F$36+WACC!$C$10)+WACC!$C$17*WACC!$C$15))^DCF!$G$25+DCF!$H$19/(1+(WACC!$C$18*(WACC!$C$7+$B38*F$36+WACC!$C$10)+WACC!$C$17*WACC!$C$15))^DCF!$H$25+DCF!$I$19/(1+(WACC!$C$18*(WACC!$C$7+$B38*F$36+WACC!$C$10)+WACC!$C$17*WACC!$C$15))^DCF!$I$25+DCF!$J$19/(1+(WACC!$C$18*(WACC!$C$7+$B38*F$36+WACC!$C$10)+WACC!$C$17*WACC!$C$15))^DCF!$J$25+(DCF!$J$19-(1-Inputs!$C$72)*DCF!$J$17)*(1+Inputs!$C$67)/((WACC!$C$18*(WACC!$C$7+$B38*F$36+WACC!$C$10)+WACC!$C$17*WACC!$C$15)-Inputs!$C$67)/(1+(WACC!$C$18*(WACC!$C$7+$B38*F$36+WACC!$C$10)+WACC!$C$17*WACC!$C$15))^(5-0.5*Inputs!$C$70))+SUM(DCF!$C$45:$C$50))/DCF!$C$52</f>
        <v/>
      </c>
      <c r="G38" s="80">
        <f>((DCF!$F$19/(1+(WACC!$C$18*(WACC!$C$7+$B38*G$36+WACC!$C$10)+WACC!$C$17*WACC!$C$15))^DCF!$F$25+DCF!$G$19/(1+(WACC!$C$18*(WACC!$C$7+$B38*G$36+WACC!$C$10)+WACC!$C$17*WACC!$C$15))^DCF!$G$25+DCF!$H$19/(1+(WACC!$C$18*(WACC!$C$7+$B38*G$36+WACC!$C$10)+WACC!$C$17*WACC!$C$15))^DCF!$H$25+DCF!$I$19/(1+(WACC!$C$18*(WACC!$C$7+$B38*G$36+WACC!$C$10)+WACC!$C$17*WACC!$C$15))^DCF!$I$25+DCF!$J$19/(1+(WACC!$C$18*(WACC!$C$7+$B38*G$36+WACC!$C$10)+WACC!$C$17*WACC!$C$15))^DCF!$J$25+(DCF!$J$19-(1-Inputs!$C$72)*DCF!$J$17)*(1+Inputs!$C$67)/((WACC!$C$18*(WACC!$C$7+$B38*G$36+WACC!$C$10)+WACC!$C$17*WACC!$C$15)-Inputs!$C$67)/(1+(WACC!$C$18*(WACC!$C$7+$B38*G$36+WACC!$C$10)+WACC!$C$17*WACC!$C$15))^(5-0.5*Inputs!$C$70))+SUM(DCF!$C$45:$C$50))/DCF!$C$52</f>
        <v/>
      </c>
    </row>
    <row r="39">
      <c r="B39" s="79" t="n">
        <v>0.9</v>
      </c>
      <c r="C39" s="80">
        <f>((DCF!$F$19/(1+(WACC!$C$18*(WACC!$C$7+$B39*C$36+WACC!$C$10)+WACC!$C$17*WACC!$C$15))^DCF!$F$25+DCF!$G$19/(1+(WACC!$C$18*(WACC!$C$7+$B39*C$36+WACC!$C$10)+WACC!$C$17*WACC!$C$15))^DCF!$G$25+DCF!$H$19/(1+(WACC!$C$18*(WACC!$C$7+$B39*C$36+WACC!$C$10)+WACC!$C$17*WACC!$C$15))^DCF!$H$25+DCF!$I$19/(1+(WACC!$C$18*(WACC!$C$7+$B39*C$36+WACC!$C$10)+WACC!$C$17*WACC!$C$15))^DCF!$I$25+DCF!$J$19/(1+(WACC!$C$18*(WACC!$C$7+$B39*C$36+WACC!$C$10)+WACC!$C$17*WACC!$C$15))^DCF!$J$25+(DCF!$J$19-(1-Inputs!$C$72)*DCF!$J$17)*(1+Inputs!$C$67)/((WACC!$C$18*(WACC!$C$7+$B39*C$36+WACC!$C$10)+WACC!$C$17*WACC!$C$15)-Inputs!$C$67)/(1+(WACC!$C$18*(WACC!$C$7+$B39*C$36+WACC!$C$10)+WACC!$C$17*WACC!$C$15))^(5-0.5*Inputs!$C$70))+SUM(DCF!$C$45:$C$50))/DCF!$C$52</f>
        <v/>
      </c>
      <c r="D39" s="80">
        <f>((DCF!$F$19/(1+(WACC!$C$18*(WACC!$C$7+$B39*D$36+WACC!$C$10)+WACC!$C$17*WACC!$C$15))^DCF!$F$25+DCF!$G$19/(1+(WACC!$C$18*(WACC!$C$7+$B39*D$36+WACC!$C$10)+WACC!$C$17*WACC!$C$15))^DCF!$G$25+DCF!$H$19/(1+(WACC!$C$18*(WACC!$C$7+$B39*D$36+WACC!$C$10)+WACC!$C$17*WACC!$C$15))^DCF!$H$25+DCF!$I$19/(1+(WACC!$C$18*(WACC!$C$7+$B39*D$36+WACC!$C$10)+WACC!$C$17*WACC!$C$15))^DCF!$I$25+DCF!$J$19/(1+(WACC!$C$18*(WACC!$C$7+$B39*D$36+WACC!$C$10)+WACC!$C$17*WACC!$C$15))^DCF!$J$25+(DCF!$J$19-(1-Inputs!$C$72)*DCF!$J$17)*(1+Inputs!$C$67)/((WACC!$C$18*(WACC!$C$7+$B39*D$36+WACC!$C$10)+WACC!$C$17*WACC!$C$15)-Inputs!$C$67)/(1+(WACC!$C$18*(WACC!$C$7+$B39*D$36+WACC!$C$10)+WACC!$C$17*WACC!$C$15))^(5-0.5*Inputs!$C$70))+SUM(DCF!$C$45:$C$50))/DCF!$C$52</f>
        <v/>
      </c>
      <c r="E39" s="81">
        <f>((DCF!$F$19/(1+(WACC!$C$18*(WACC!$C$7+$B39*E$36+WACC!$C$10)+WACC!$C$17*WACC!$C$15))^DCF!$F$25+DCF!$G$19/(1+(WACC!$C$18*(WACC!$C$7+$B39*E$36+WACC!$C$10)+WACC!$C$17*WACC!$C$15))^DCF!$G$25+DCF!$H$19/(1+(WACC!$C$18*(WACC!$C$7+$B39*E$36+WACC!$C$10)+WACC!$C$17*WACC!$C$15))^DCF!$H$25+DCF!$I$19/(1+(WACC!$C$18*(WACC!$C$7+$B39*E$36+WACC!$C$10)+WACC!$C$17*WACC!$C$15))^DCF!$I$25+DCF!$J$19/(1+(WACC!$C$18*(WACC!$C$7+$B39*E$36+WACC!$C$10)+WACC!$C$17*WACC!$C$15))^DCF!$J$25+(DCF!$J$19-(1-Inputs!$C$72)*DCF!$J$17)*(1+Inputs!$C$67)/((WACC!$C$18*(WACC!$C$7+$B39*E$36+WACC!$C$10)+WACC!$C$17*WACC!$C$15)-Inputs!$C$67)/(1+(WACC!$C$18*(WACC!$C$7+$B39*E$36+WACC!$C$10)+WACC!$C$17*WACC!$C$15))^(5-0.5*Inputs!$C$70))+SUM(DCF!$C$45:$C$50))/DCF!$C$52</f>
        <v/>
      </c>
      <c r="F39" s="80">
        <f>((DCF!$F$19/(1+(WACC!$C$18*(WACC!$C$7+$B39*F$36+WACC!$C$10)+WACC!$C$17*WACC!$C$15))^DCF!$F$25+DCF!$G$19/(1+(WACC!$C$18*(WACC!$C$7+$B39*F$36+WACC!$C$10)+WACC!$C$17*WACC!$C$15))^DCF!$G$25+DCF!$H$19/(1+(WACC!$C$18*(WACC!$C$7+$B39*F$36+WACC!$C$10)+WACC!$C$17*WACC!$C$15))^DCF!$H$25+DCF!$I$19/(1+(WACC!$C$18*(WACC!$C$7+$B39*F$36+WACC!$C$10)+WACC!$C$17*WACC!$C$15))^DCF!$I$25+DCF!$J$19/(1+(WACC!$C$18*(WACC!$C$7+$B39*F$36+WACC!$C$10)+WACC!$C$17*WACC!$C$15))^DCF!$J$25+(DCF!$J$19-(1-Inputs!$C$72)*DCF!$J$17)*(1+Inputs!$C$67)/((WACC!$C$18*(WACC!$C$7+$B39*F$36+WACC!$C$10)+WACC!$C$17*WACC!$C$15)-Inputs!$C$67)/(1+(WACC!$C$18*(WACC!$C$7+$B39*F$36+WACC!$C$10)+WACC!$C$17*WACC!$C$15))^(5-0.5*Inputs!$C$70))+SUM(DCF!$C$45:$C$50))/DCF!$C$52</f>
        <v/>
      </c>
      <c r="G39" s="80">
        <f>((DCF!$F$19/(1+(WACC!$C$18*(WACC!$C$7+$B39*G$36+WACC!$C$10)+WACC!$C$17*WACC!$C$15))^DCF!$F$25+DCF!$G$19/(1+(WACC!$C$18*(WACC!$C$7+$B39*G$36+WACC!$C$10)+WACC!$C$17*WACC!$C$15))^DCF!$G$25+DCF!$H$19/(1+(WACC!$C$18*(WACC!$C$7+$B39*G$36+WACC!$C$10)+WACC!$C$17*WACC!$C$15))^DCF!$H$25+DCF!$I$19/(1+(WACC!$C$18*(WACC!$C$7+$B39*G$36+WACC!$C$10)+WACC!$C$17*WACC!$C$15))^DCF!$I$25+DCF!$J$19/(1+(WACC!$C$18*(WACC!$C$7+$B39*G$36+WACC!$C$10)+WACC!$C$17*WACC!$C$15))^DCF!$J$25+(DCF!$J$19-(1-Inputs!$C$72)*DCF!$J$17)*(1+Inputs!$C$67)/((WACC!$C$18*(WACC!$C$7+$B39*G$36+WACC!$C$10)+WACC!$C$17*WACC!$C$15)-Inputs!$C$67)/(1+(WACC!$C$18*(WACC!$C$7+$B39*G$36+WACC!$C$10)+WACC!$C$17*WACC!$C$15))^(5-0.5*Inputs!$C$70))+SUM(DCF!$C$45:$C$50))/DCF!$C$52</f>
        <v/>
      </c>
    </row>
    <row r="40">
      <c r="B40" s="79" t="n">
        <v>1</v>
      </c>
      <c r="C40" s="80">
        <f>((DCF!$F$19/(1+(WACC!$C$18*(WACC!$C$7+$B40*C$36+WACC!$C$10)+WACC!$C$17*WACC!$C$15))^DCF!$F$25+DCF!$G$19/(1+(WACC!$C$18*(WACC!$C$7+$B40*C$36+WACC!$C$10)+WACC!$C$17*WACC!$C$15))^DCF!$G$25+DCF!$H$19/(1+(WACC!$C$18*(WACC!$C$7+$B40*C$36+WACC!$C$10)+WACC!$C$17*WACC!$C$15))^DCF!$H$25+DCF!$I$19/(1+(WACC!$C$18*(WACC!$C$7+$B40*C$36+WACC!$C$10)+WACC!$C$17*WACC!$C$15))^DCF!$I$25+DCF!$J$19/(1+(WACC!$C$18*(WACC!$C$7+$B40*C$36+WACC!$C$10)+WACC!$C$17*WACC!$C$15))^DCF!$J$25+(DCF!$J$19-(1-Inputs!$C$72)*DCF!$J$17)*(1+Inputs!$C$67)/((WACC!$C$18*(WACC!$C$7+$B40*C$36+WACC!$C$10)+WACC!$C$17*WACC!$C$15)-Inputs!$C$67)/(1+(WACC!$C$18*(WACC!$C$7+$B40*C$36+WACC!$C$10)+WACC!$C$17*WACC!$C$15))^(5-0.5*Inputs!$C$70))+SUM(DCF!$C$45:$C$50))/DCF!$C$52</f>
        <v/>
      </c>
      <c r="D40" s="80">
        <f>((DCF!$F$19/(1+(WACC!$C$18*(WACC!$C$7+$B40*D$36+WACC!$C$10)+WACC!$C$17*WACC!$C$15))^DCF!$F$25+DCF!$G$19/(1+(WACC!$C$18*(WACC!$C$7+$B40*D$36+WACC!$C$10)+WACC!$C$17*WACC!$C$15))^DCF!$G$25+DCF!$H$19/(1+(WACC!$C$18*(WACC!$C$7+$B40*D$36+WACC!$C$10)+WACC!$C$17*WACC!$C$15))^DCF!$H$25+DCF!$I$19/(1+(WACC!$C$18*(WACC!$C$7+$B40*D$36+WACC!$C$10)+WACC!$C$17*WACC!$C$15))^DCF!$I$25+DCF!$J$19/(1+(WACC!$C$18*(WACC!$C$7+$B40*D$36+WACC!$C$10)+WACC!$C$17*WACC!$C$15))^DCF!$J$25+(DCF!$J$19-(1-Inputs!$C$72)*DCF!$J$17)*(1+Inputs!$C$67)/((WACC!$C$18*(WACC!$C$7+$B40*D$36+WACC!$C$10)+WACC!$C$17*WACC!$C$15)-Inputs!$C$67)/(1+(WACC!$C$18*(WACC!$C$7+$B40*D$36+WACC!$C$10)+WACC!$C$17*WACC!$C$15))^(5-0.5*Inputs!$C$70))+SUM(DCF!$C$45:$C$50))/DCF!$C$52</f>
        <v/>
      </c>
      <c r="E40" s="80">
        <f>((DCF!$F$19/(1+(WACC!$C$18*(WACC!$C$7+$B40*E$36+WACC!$C$10)+WACC!$C$17*WACC!$C$15))^DCF!$F$25+DCF!$G$19/(1+(WACC!$C$18*(WACC!$C$7+$B40*E$36+WACC!$C$10)+WACC!$C$17*WACC!$C$15))^DCF!$G$25+DCF!$H$19/(1+(WACC!$C$18*(WACC!$C$7+$B40*E$36+WACC!$C$10)+WACC!$C$17*WACC!$C$15))^DCF!$H$25+DCF!$I$19/(1+(WACC!$C$18*(WACC!$C$7+$B40*E$36+WACC!$C$10)+WACC!$C$17*WACC!$C$15))^DCF!$I$25+DCF!$J$19/(1+(WACC!$C$18*(WACC!$C$7+$B40*E$36+WACC!$C$10)+WACC!$C$17*WACC!$C$15))^DCF!$J$25+(DCF!$J$19-(1-Inputs!$C$72)*DCF!$J$17)*(1+Inputs!$C$67)/((WACC!$C$18*(WACC!$C$7+$B40*E$36+WACC!$C$10)+WACC!$C$17*WACC!$C$15)-Inputs!$C$67)/(1+(WACC!$C$18*(WACC!$C$7+$B40*E$36+WACC!$C$10)+WACC!$C$17*WACC!$C$15))^(5-0.5*Inputs!$C$70))+SUM(DCF!$C$45:$C$50))/DCF!$C$52</f>
        <v/>
      </c>
      <c r="F40" s="80">
        <f>((DCF!$F$19/(1+(WACC!$C$18*(WACC!$C$7+$B40*F$36+WACC!$C$10)+WACC!$C$17*WACC!$C$15))^DCF!$F$25+DCF!$G$19/(1+(WACC!$C$18*(WACC!$C$7+$B40*F$36+WACC!$C$10)+WACC!$C$17*WACC!$C$15))^DCF!$G$25+DCF!$H$19/(1+(WACC!$C$18*(WACC!$C$7+$B40*F$36+WACC!$C$10)+WACC!$C$17*WACC!$C$15))^DCF!$H$25+DCF!$I$19/(1+(WACC!$C$18*(WACC!$C$7+$B40*F$36+WACC!$C$10)+WACC!$C$17*WACC!$C$15))^DCF!$I$25+DCF!$J$19/(1+(WACC!$C$18*(WACC!$C$7+$B40*F$36+WACC!$C$10)+WACC!$C$17*WACC!$C$15))^DCF!$J$25+(DCF!$J$19-(1-Inputs!$C$72)*DCF!$J$17)*(1+Inputs!$C$67)/((WACC!$C$18*(WACC!$C$7+$B40*F$36+WACC!$C$10)+WACC!$C$17*WACC!$C$15)-Inputs!$C$67)/(1+(WACC!$C$18*(WACC!$C$7+$B40*F$36+WACC!$C$10)+WACC!$C$17*WACC!$C$15))^(5-0.5*Inputs!$C$70))+SUM(DCF!$C$45:$C$50))/DCF!$C$52</f>
        <v/>
      </c>
      <c r="G40" s="80">
        <f>((DCF!$F$19/(1+(WACC!$C$18*(WACC!$C$7+$B40*G$36+WACC!$C$10)+WACC!$C$17*WACC!$C$15))^DCF!$F$25+DCF!$G$19/(1+(WACC!$C$18*(WACC!$C$7+$B40*G$36+WACC!$C$10)+WACC!$C$17*WACC!$C$15))^DCF!$G$25+DCF!$H$19/(1+(WACC!$C$18*(WACC!$C$7+$B40*G$36+WACC!$C$10)+WACC!$C$17*WACC!$C$15))^DCF!$H$25+DCF!$I$19/(1+(WACC!$C$18*(WACC!$C$7+$B40*G$36+WACC!$C$10)+WACC!$C$17*WACC!$C$15))^DCF!$I$25+DCF!$J$19/(1+(WACC!$C$18*(WACC!$C$7+$B40*G$36+WACC!$C$10)+WACC!$C$17*WACC!$C$15))^DCF!$J$25+(DCF!$J$19-(1-Inputs!$C$72)*DCF!$J$17)*(1+Inputs!$C$67)/((WACC!$C$18*(WACC!$C$7+$B40*G$36+WACC!$C$10)+WACC!$C$17*WACC!$C$15)-Inputs!$C$67)/(1+(WACC!$C$18*(WACC!$C$7+$B40*G$36+WACC!$C$10)+WACC!$C$17*WACC!$C$15))^(5-0.5*Inputs!$C$70))+SUM(DCF!$C$45:$C$50))/DCF!$C$52</f>
        <v/>
      </c>
    </row>
    <row r="41">
      <c r="B41" s="79" t="n">
        <v>1.1</v>
      </c>
      <c r="C41" s="80">
        <f>((DCF!$F$19/(1+(WACC!$C$18*(WACC!$C$7+$B41*C$36+WACC!$C$10)+WACC!$C$17*WACC!$C$15))^DCF!$F$25+DCF!$G$19/(1+(WACC!$C$18*(WACC!$C$7+$B41*C$36+WACC!$C$10)+WACC!$C$17*WACC!$C$15))^DCF!$G$25+DCF!$H$19/(1+(WACC!$C$18*(WACC!$C$7+$B41*C$36+WACC!$C$10)+WACC!$C$17*WACC!$C$15))^DCF!$H$25+DCF!$I$19/(1+(WACC!$C$18*(WACC!$C$7+$B41*C$36+WACC!$C$10)+WACC!$C$17*WACC!$C$15))^DCF!$I$25+DCF!$J$19/(1+(WACC!$C$18*(WACC!$C$7+$B41*C$36+WACC!$C$10)+WACC!$C$17*WACC!$C$15))^DCF!$J$25+(DCF!$J$19-(1-Inputs!$C$72)*DCF!$J$17)*(1+Inputs!$C$67)/((WACC!$C$18*(WACC!$C$7+$B41*C$36+WACC!$C$10)+WACC!$C$17*WACC!$C$15)-Inputs!$C$67)/(1+(WACC!$C$18*(WACC!$C$7+$B41*C$36+WACC!$C$10)+WACC!$C$17*WACC!$C$15))^(5-0.5*Inputs!$C$70))+SUM(DCF!$C$45:$C$50))/DCF!$C$52</f>
        <v/>
      </c>
      <c r="D41" s="80">
        <f>((DCF!$F$19/(1+(WACC!$C$18*(WACC!$C$7+$B41*D$36+WACC!$C$10)+WACC!$C$17*WACC!$C$15))^DCF!$F$25+DCF!$G$19/(1+(WACC!$C$18*(WACC!$C$7+$B41*D$36+WACC!$C$10)+WACC!$C$17*WACC!$C$15))^DCF!$G$25+DCF!$H$19/(1+(WACC!$C$18*(WACC!$C$7+$B41*D$36+WACC!$C$10)+WACC!$C$17*WACC!$C$15))^DCF!$H$25+DCF!$I$19/(1+(WACC!$C$18*(WACC!$C$7+$B41*D$36+WACC!$C$10)+WACC!$C$17*WACC!$C$15))^DCF!$I$25+DCF!$J$19/(1+(WACC!$C$18*(WACC!$C$7+$B41*D$36+WACC!$C$10)+WACC!$C$17*WACC!$C$15))^DCF!$J$25+(DCF!$J$19-(1-Inputs!$C$72)*DCF!$J$17)*(1+Inputs!$C$67)/((WACC!$C$18*(WACC!$C$7+$B41*D$36+WACC!$C$10)+WACC!$C$17*WACC!$C$15)-Inputs!$C$67)/(1+(WACC!$C$18*(WACC!$C$7+$B41*D$36+WACC!$C$10)+WACC!$C$17*WACC!$C$15))^(5-0.5*Inputs!$C$70))+SUM(DCF!$C$45:$C$50))/DCF!$C$52</f>
        <v/>
      </c>
      <c r="E41" s="80">
        <f>((DCF!$F$19/(1+(WACC!$C$18*(WACC!$C$7+$B41*E$36+WACC!$C$10)+WACC!$C$17*WACC!$C$15))^DCF!$F$25+DCF!$G$19/(1+(WACC!$C$18*(WACC!$C$7+$B41*E$36+WACC!$C$10)+WACC!$C$17*WACC!$C$15))^DCF!$G$25+DCF!$H$19/(1+(WACC!$C$18*(WACC!$C$7+$B41*E$36+WACC!$C$10)+WACC!$C$17*WACC!$C$15))^DCF!$H$25+DCF!$I$19/(1+(WACC!$C$18*(WACC!$C$7+$B41*E$36+WACC!$C$10)+WACC!$C$17*WACC!$C$15))^DCF!$I$25+DCF!$J$19/(1+(WACC!$C$18*(WACC!$C$7+$B41*E$36+WACC!$C$10)+WACC!$C$17*WACC!$C$15))^DCF!$J$25+(DCF!$J$19-(1-Inputs!$C$72)*DCF!$J$17)*(1+Inputs!$C$67)/((WACC!$C$18*(WACC!$C$7+$B41*E$36+WACC!$C$10)+WACC!$C$17*WACC!$C$15)-Inputs!$C$67)/(1+(WACC!$C$18*(WACC!$C$7+$B41*E$36+WACC!$C$10)+WACC!$C$17*WACC!$C$15))^(5-0.5*Inputs!$C$70))+SUM(DCF!$C$45:$C$50))/DCF!$C$52</f>
        <v/>
      </c>
      <c r="F41" s="80">
        <f>((DCF!$F$19/(1+(WACC!$C$18*(WACC!$C$7+$B41*F$36+WACC!$C$10)+WACC!$C$17*WACC!$C$15))^DCF!$F$25+DCF!$G$19/(1+(WACC!$C$18*(WACC!$C$7+$B41*F$36+WACC!$C$10)+WACC!$C$17*WACC!$C$15))^DCF!$G$25+DCF!$H$19/(1+(WACC!$C$18*(WACC!$C$7+$B41*F$36+WACC!$C$10)+WACC!$C$17*WACC!$C$15))^DCF!$H$25+DCF!$I$19/(1+(WACC!$C$18*(WACC!$C$7+$B41*F$36+WACC!$C$10)+WACC!$C$17*WACC!$C$15))^DCF!$I$25+DCF!$J$19/(1+(WACC!$C$18*(WACC!$C$7+$B41*F$36+WACC!$C$10)+WACC!$C$17*WACC!$C$15))^DCF!$J$25+(DCF!$J$19-(1-Inputs!$C$72)*DCF!$J$17)*(1+Inputs!$C$67)/((WACC!$C$18*(WACC!$C$7+$B41*F$36+WACC!$C$10)+WACC!$C$17*WACC!$C$15)-Inputs!$C$67)/(1+(WACC!$C$18*(WACC!$C$7+$B41*F$36+WACC!$C$10)+WACC!$C$17*WACC!$C$15))^(5-0.5*Inputs!$C$70))+SUM(DCF!$C$45:$C$50))/DCF!$C$52</f>
        <v/>
      </c>
      <c r="G41" s="80">
        <f>((DCF!$F$19/(1+(WACC!$C$18*(WACC!$C$7+$B41*G$36+WACC!$C$10)+WACC!$C$17*WACC!$C$15))^DCF!$F$25+DCF!$G$19/(1+(WACC!$C$18*(WACC!$C$7+$B41*G$36+WACC!$C$10)+WACC!$C$17*WACC!$C$15))^DCF!$G$25+DCF!$H$19/(1+(WACC!$C$18*(WACC!$C$7+$B41*G$36+WACC!$C$10)+WACC!$C$17*WACC!$C$15))^DCF!$H$25+DCF!$I$19/(1+(WACC!$C$18*(WACC!$C$7+$B41*G$36+WACC!$C$10)+WACC!$C$17*WACC!$C$15))^DCF!$I$25+DCF!$J$19/(1+(WACC!$C$18*(WACC!$C$7+$B41*G$36+WACC!$C$10)+WACC!$C$17*WACC!$C$15))^DCF!$J$25+(DCF!$J$19-(1-Inputs!$C$72)*DCF!$J$17)*(1+Inputs!$C$67)/((WACC!$C$18*(WACC!$C$7+$B41*G$36+WACC!$C$10)+WACC!$C$17*WACC!$C$15)-Inputs!$C$67)/(1+(WACC!$C$18*(WACC!$C$7+$B41*G$36+WACC!$C$10)+WACC!$C$17*WACC!$C$15))^(5-0.5*Inputs!$C$70))+SUM(DCF!$C$45:$C$50))/DCF!$C$52</f>
        <v/>
      </c>
    </row>
    <row r="43">
      <c r="A43" s="71" t="inlineStr">
        <is>
          <t>5. Upside / (downside) vs market price - exit-multiple method: WACC vs exit EV/EBITDA</t>
        </is>
      </c>
    </row>
    <row r="44">
      <c r="A44" s="22" t="inlineStr">
        <is>
          <t>Rows: WACC   |   Columns: exit multiple (x).</t>
        </is>
      </c>
    </row>
    <row r="45">
      <c r="B45" s="5" t="n"/>
      <c r="C45" s="75">
        <f>Inputs!$C$68-2</f>
        <v/>
      </c>
      <c r="D45" s="75">
        <f>Inputs!$C$68-1</f>
        <v/>
      </c>
      <c r="E45" s="75">
        <f>Inputs!$C$68</f>
        <v/>
      </c>
      <c r="F45" s="75">
        <f>Inputs!$C$68+1</f>
        <v/>
      </c>
      <c r="G45" s="75">
        <f>Inputs!$C$68+2</f>
        <v/>
      </c>
    </row>
    <row r="46">
      <c r="B46" s="72">
        <f>WACC!$C$19-0.01</f>
        <v/>
      </c>
      <c r="C46" s="82">
        <f>((DCF!$F$19/(1+$B46)^DCF!$F$25+DCF!$G$19/(1+$B46)^DCF!$G$25+DCF!$H$19/(1+$B46)^DCF!$H$25+DCF!$I$19/(1+$B46)^DCF!$I$25+DCF!$J$19/(1+$B46)^DCF!$J$25+C$45*DCF!$J$8/(1+$B46)^5)+SUM(DCF!$C$45:$C$50))/DCF!$C$52/Inputs!$C$76-1</f>
        <v/>
      </c>
      <c r="D46" s="82">
        <f>((DCF!$F$19/(1+$B46)^DCF!$F$25+DCF!$G$19/(1+$B46)^DCF!$G$25+DCF!$H$19/(1+$B46)^DCF!$H$25+DCF!$I$19/(1+$B46)^DCF!$I$25+DCF!$J$19/(1+$B46)^DCF!$J$25+D$45*DCF!$J$8/(1+$B46)^5)+SUM(DCF!$C$45:$C$50))/DCF!$C$52/Inputs!$C$76-1</f>
        <v/>
      </c>
      <c r="E46" s="82">
        <f>((DCF!$F$19/(1+$B46)^DCF!$F$25+DCF!$G$19/(1+$B46)^DCF!$G$25+DCF!$H$19/(1+$B46)^DCF!$H$25+DCF!$I$19/(1+$B46)^DCF!$I$25+DCF!$J$19/(1+$B46)^DCF!$J$25+E$45*DCF!$J$8/(1+$B46)^5)+SUM(DCF!$C$45:$C$50))/DCF!$C$52/Inputs!$C$76-1</f>
        <v/>
      </c>
      <c r="F46" s="82">
        <f>((DCF!$F$19/(1+$B46)^DCF!$F$25+DCF!$G$19/(1+$B46)^DCF!$G$25+DCF!$H$19/(1+$B46)^DCF!$H$25+DCF!$I$19/(1+$B46)^DCF!$I$25+DCF!$J$19/(1+$B46)^DCF!$J$25+F$45*DCF!$J$8/(1+$B46)^5)+SUM(DCF!$C$45:$C$50))/DCF!$C$52/Inputs!$C$76-1</f>
        <v/>
      </c>
      <c r="G46" s="82">
        <f>((DCF!$F$19/(1+$B46)^DCF!$F$25+DCF!$G$19/(1+$B46)^DCF!$G$25+DCF!$H$19/(1+$B46)^DCF!$H$25+DCF!$I$19/(1+$B46)^DCF!$I$25+DCF!$J$19/(1+$B46)^DCF!$J$25+G$45*DCF!$J$8/(1+$B46)^5)+SUM(DCF!$C$45:$C$50))/DCF!$C$52/Inputs!$C$76-1</f>
        <v/>
      </c>
    </row>
    <row r="47">
      <c r="B47" s="72">
        <f>WACC!$C$19-0.005</f>
        <v/>
      </c>
      <c r="C47" s="82">
        <f>((DCF!$F$19/(1+$B47)^DCF!$F$25+DCF!$G$19/(1+$B47)^DCF!$G$25+DCF!$H$19/(1+$B47)^DCF!$H$25+DCF!$I$19/(1+$B47)^DCF!$I$25+DCF!$J$19/(1+$B47)^DCF!$J$25+C$45*DCF!$J$8/(1+$B47)^5)+SUM(DCF!$C$45:$C$50))/DCF!$C$52/Inputs!$C$76-1</f>
        <v/>
      </c>
      <c r="D47" s="82">
        <f>((DCF!$F$19/(1+$B47)^DCF!$F$25+DCF!$G$19/(1+$B47)^DCF!$G$25+DCF!$H$19/(1+$B47)^DCF!$H$25+DCF!$I$19/(1+$B47)^DCF!$I$25+DCF!$J$19/(1+$B47)^DCF!$J$25+D$45*DCF!$J$8/(1+$B47)^5)+SUM(DCF!$C$45:$C$50))/DCF!$C$52/Inputs!$C$76-1</f>
        <v/>
      </c>
      <c r="E47" s="82">
        <f>((DCF!$F$19/(1+$B47)^DCF!$F$25+DCF!$G$19/(1+$B47)^DCF!$G$25+DCF!$H$19/(1+$B47)^DCF!$H$25+DCF!$I$19/(1+$B47)^DCF!$I$25+DCF!$J$19/(1+$B47)^DCF!$J$25+E$45*DCF!$J$8/(1+$B47)^5)+SUM(DCF!$C$45:$C$50))/DCF!$C$52/Inputs!$C$76-1</f>
        <v/>
      </c>
      <c r="F47" s="82">
        <f>((DCF!$F$19/(1+$B47)^DCF!$F$25+DCF!$G$19/(1+$B47)^DCF!$G$25+DCF!$H$19/(1+$B47)^DCF!$H$25+DCF!$I$19/(1+$B47)^DCF!$I$25+DCF!$J$19/(1+$B47)^DCF!$J$25+F$45*DCF!$J$8/(1+$B47)^5)+SUM(DCF!$C$45:$C$50))/DCF!$C$52/Inputs!$C$76-1</f>
        <v/>
      </c>
      <c r="G47" s="82">
        <f>((DCF!$F$19/(1+$B47)^DCF!$F$25+DCF!$G$19/(1+$B47)^DCF!$G$25+DCF!$H$19/(1+$B47)^DCF!$H$25+DCF!$I$19/(1+$B47)^DCF!$I$25+DCF!$J$19/(1+$B47)^DCF!$J$25+G$45*DCF!$J$8/(1+$B47)^5)+SUM(DCF!$C$45:$C$50))/DCF!$C$52/Inputs!$C$76-1</f>
        <v/>
      </c>
    </row>
    <row r="48">
      <c r="B48" s="72">
        <f>WACC!$C$19</f>
        <v/>
      </c>
      <c r="C48" s="82">
        <f>((DCF!$F$19/(1+$B48)^DCF!$F$25+DCF!$G$19/(1+$B48)^DCF!$G$25+DCF!$H$19/(1+$B48)^DCF!$H$25+DCF!$I$19/(1+$B48)^DCF!$I$25+DCF!$J$19/(1+$B48)^DCF!$J$25+C$45*DCF!$J$8/(1+$B48)^5)+SUM(DCF!$C$45:$C$50))/DCF!$C$52/Inputs!$C$76-1</f>
        <v/>
      </c>
      <c r="D48" s="82">
        <f>((DCF!$F$19/(1+$B48)^DCF!$F$25+DCF!$G$19/(1+$B48)^DCF!$G$25+DCF!$H$19/(1+$B48)^DCF!$H$25+DCF!$I$19/(1+$B48)^DCF!$I$25+DCF!$J$19/(1+$B48)^DCF!$J$25+D$45*DCF!$J$8/(1+$B48)^5)+SUM(DCF!$C$45:$C$50))/DCF!$C$52/Inputs!$C$76-1</f>
        <v/>
      </c>
      <c r="E48" s="83">
        <f>((DCF!$F$19/(1+$B48)^DCF!$F$25+DCF!$G$19/(1+$B48)^DCF!$G$25+DCF!$H$19/(1+$B48)^DCF!$H$25+DCF!$I$19/(1+$B48)^DCF!$I$25+DCF!$J$19/(1+$B48)^DCF!$J$25+E$45*DCF!$J$8/(1+$B48)^5)+SUM(DCF!$C$45:$C$50))/DCF!$C$52/Inputs!$C$76-1</f>
        <v/>
      </c>
      <c r="F48" s="82">
        <f>((DCF!$F$19/(1+$B48)^DCF!$F$25+DCF!$G$19/(1+$B48)^DCF!$G$25+DCF!$H$19/(1+$B48)^DCF!$H$25+DCF!$I$19/(1+$B48)^DCF!$I$25+DCF!$J$19/(1+$B48)^DCF!$J$25+F$45*DCF!$J$8/(1+$B48)^5)+SUM(DCF!$C$45:$C$50))/DCF!$C$52/Inputs!$C$76-1</f>
        <v/>
      </c>
      <c r="G48" s="82">
        <f>((DCF!$F$19/(1+$B48)^DCF!$F$25+DCF!$G$19/(1+$B48)^DCF!$G$25+DCF!$H$19/(1+$B48)^DCF!$H$25+DCF!$I$19/(1+$B48)^DCF!$I$25+DCF!$J$19/(1+$B48)^DCF!$J$25+G$45*DCF!$J$8/(1+$B48)^5)+SUM(DCF!$C$45:$C$50))/DCF!$C$52/Inputs!$C$76-1</f>
        <v/>
      </c>
    </row>
    <row r="49">
      <c r="B49" s="72">
        <f>WACC!$C$19+0.005</f>
        <v/>
      </c>
      <c r="C49" s="82">
        <f>((DCF!$F$19/(1+$B49)^DCF!$F$25+DCF!$G$19/(1+$B49)^DCF!$G$25+DCF!$H$19/(1+$B49)^DCF!$H$25+DCF!$I$19/(1+$B49)^DCF!$I$25+DCF!$J$19/(1+$B49)^DCF!$J$25+C$45*DCF!$J$8/(1+$B49)^5)+SUM(DCF!$C$45:$C$50))/DCF!$C$52/Inputs!$C$76-1</f>
        <v/>
      </c>
      <c r="D49" s="82">
        <f>((DCF!$F$19/(1+$B49)^DCF!$F$25+DCF!$G$19/(1+$B49)^DCF!$G$25+DCF!$H$19/(1+$B49)^DCF!$H$25+DCF!$I$19/(1+$B49)^DCF!$I$25+DCF!$J$19/(1+$B49)^DCF!$J$25+D$45*DCF!$J$8/(1+$B49)^5)+SUM(DCF!$C$45:$C$50))/DCF!$C$52/Inputs!$C$76-1</f>
        <v/>
      </c>
      <c r="E49" s="82">
        <f>((DCF!$F$19/(1+$B49)^DCF!$F$25+DCF!$G$19/(1+$B49)^DCF!$G$25+DCF!$H$19/(1+$B49)^DCF!$H$25+DCF!$I$19/(1+$B49)^DCF!$I$25+DCF!$J$19/(1+$B49)^DCF!$J$25+E$45*DCF!$J$8/(1+$B49)^5)+SUM(DCF!$C$45:$C$50))/DCF!$C$52/Inputs!$C$76-1</f>
        <v/>
      </c>
      <c r="F49" s="82">
        <f>((DCF!$F$19/(1+$B49)^DCF!$F$25+DCF!$G$19/(1+$B49)^DCF!$G$25+DCF!$H$19/(1+$B49)^DCF!$H$25+DCF!$I$19/(1+$B49)^DCF!$I$25+DCF!$J$19/(1+$B49)^DCF!$J$25+F$45*DCF!$J$8/(1+$B49)^5)+SUM(DCF!$C$45:$C$50))/DCF!$C$52/Inputs!$C$76-1</f>
        <v/>
      </c>
      <c r="G49" s="82">
        <f>((DCF!$F$19/(1+$B49)^DCF!$F$25+DCF!$G$19/(1+$B49)^DCF!$G$25+DCF!$H$19/(1+$B49)^DCF!$H$25+DCF!$I$19/(1+$B49)^DCF!$I$25+DCF!$J$19/(1+$B49)^DCF!$J$25+G$45*DCF!$J$8/(1+$B49)^5)+SUM(DCF!$C$45:$C$50))/DCF!$C$52/Inputs!$C$76-1</f>
        <v/>
      </c>
    </row>
    <row r="50">
      <c r="B50" s="72">
        <f>WACC!$C$19+0.01</f>
        <v/>
      </c>
      <c r="C50" s="82">
        <f>((DCF!$F$19/(1+$B50)^DCF!$F$25+DCF!$G$19/(1+$B50)^DCF!$G$25+DCF!$H$19/(1+$B50)^DCF!$H$25+DCF!$I$19/(1+$B50)^DCF!$I$25+DCF!$J$19/(1+$B50)^DCF!$J$25+C$45*DCF!$J$8/(1+$B50)^5)+SUM(DCF!$C$45:$C$50))/DCF!$C$52/Inputs!$C$76-1</f>
        <v/>
      </c>
      <c r="D50" s="82">
        <f>((DCF!$F$19/(1+$B50)^DCF!$F$25+DCF!$G$19/(1+$B50)^DCF!$G$25+DCF!$H$19/(1+$B50)^DCF!$H$25+DCF!$I$19/(1+$B50)^DCF!$I$25+DCF!$J$19/(1+$B50)^DCF!$J$25+D$45*DCF!$J$8/(1+$B50)^5)+SUM(DCF!$C$45:$C$50))/DCF!$C$52/Inputs!$C$76-1</f>
        <v/>
      </c>
      <c r="E50" s="82">
        <f>((DCF!$F$19/(1+$B50)^DCF!$F$25+DCF!$G$19/(1+$B50)^DCF!$G$25+DCF!$H$19/(1+$B50)^DCF!$H$25+DCF!$I$19/(1+$B50)^DCF!$I$25+DCF!$J$19/(1+$B50)^DCF!$J$25+E$45*DCF!$J$8/(1+$B50)^5)+SUM(DCF!$C$45:$C$50))/DCF!$C$52/Inputs!$C$76-1</f>
        <v/>
      </c>
      <c r="F50" s="82">
        <f>((DCF!$F$19/(1+$B50)^DCF!$F$25+DCF!$G$19/(1+$B50)^DCF!$G$25+DCF!$H$19/(1+$B50)^DCF!$H$25+DCF!$I$19/(1+$B50)^DCF!$I$25+DCF!$J$19/(1+$B50)^DCF!$J$25+F$45*DCF!$J$8/(1+$B50)^5)+SUM(DCF!$C$45:$C$50))/DCF!$C$52/Inputs!$C$76-1</f>
        <v/>
      </c>
      <c r="G50" s="82">
        <f>((DCF!$F$19/(1+$B50)^DCF!$F$25+DCF!$G$19/(1+$B50)^DCF!$G$25+DCF!$H$19/(1+$B50)^DCF!$H$25+DCF!$I$19/(1+$B50)^DCF!$I$25+DCF!$J$19/(1+$B50)^DCF!$J$25+G$45*DCF!$J$8/(1+$B50)^5)+SUM(DCF!$C$45:$C$50))/DCF!$C$52/Inputs!$C$76-1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1" t="inlineStr">
        <is>
          <t>Infosys Limited - Scenario Summary (Bear / Base / Bull)</t>
        </is>
      </c>
    </row>
    <row r="2">
      <c r="A2" s="84" t="inlineStr">
        <is>
          <t>STATIC SNAPSHOT: values pasted from running the model with the selector on 3 / 1 / 2. To refresh after changing any assumption, flip Inputs!C6 through 1-2-3 and paste the DCF outputs here.</t>
        </is>
      </c>
    </row>
    <row r="4">
      <c r="A4" s="23" t="inlineStr">
        <is>
          <t>Metric</t>
        </is>
      </c>
      <c r="B4" s="24" t="inlineStr">
        <is>
          <t>Bear</t>
        </is>
      </c>
      <c r="C4" s="24" t="inlineStr">
        <is>
          <t>Base</t>
        </is>
      </c>
      <c r="D4" s="24" t="inlineStr">
        <is>
          <t>Bull</t>
        </is>
      </c>
    </row>
    <row r="5">
      <c r="A5" s="8" t="inlineStr">
        <is>
          <t>FY26E revenue (Rs crore)</t>
        </is>
      </c>
      <c r="B5" s="40" t="n">
        <v>166503.0201</v>
      </c>
      <c r="C5" s="40" t="n">
        <v>169828.0161</v>
      </c>
      <c r="D5" s="40" t="n">
        <v>172321.7631</v>
      </c>
    </row>
    <row r="6">
      <c r="A6" s="8" t="inlineStr">
        <is>
          <t>FY30E revenue (Rs crore)</t>
        </is>
      </c>
      <c r="B6" s="40" t="n">
        <v>204703.8836038825</v>
      </c>
      <c r="C6" s="40" t="n">
        <v>228578.1054541237</v>
      </c>
      <c r="D6" s="40" t="n">
        <v>249916.7257228249</v>
      </c>
    </row>
    <row r="7">
      <c r="A7" s="8" t="inlineStr">
        <is>
          <t>Revenue CAGR FY25-FY30E (INR)</t>
        </is>
      </c>
      <c r="B7" s="32" t="n">
        <v>0.04662962770804535</v>
      </c>
      <c r="C7" s="32" t="n">
        <v>0.06997771823251941</v>
      </c>
      <c r="D7" s="32" t="n">
        <v>0.08924825414186333</v>
      </c>
    </row>
    <row r="8">
      <c r="A8" s="8" t="inlineStr">
        <is>
          <t>FY30E operating margin</t>
        </is>
      </c>
      <c r="B8" s="32" t="n">
        <v>0.180726868286128</v>
      </c>
      <c r="C8" s="32" t="n">
        <v>0.2106802394599695</v>
      </c>
      <c r="D8" s="32" t="n">
        <v>0.2342554417990383</v>
      </c>
    </row>
    <row r="9">
      <c r="A9" s="8" t="inlineStr">
        <is>
          <t>FY30E EBITDA (Rs crore)</t>
        </is>
      </c>
      <c r="B9" s="40" t="n">
        <v>42203.45632491577</v>
      </c>
      <c r="C9" s="40" t="n">
        <v>53602.6555759615</v>
      </c>
      <c r="D9" s="40" t="n">
        <v>64185.67634884451</v>
      </c>
    </row>
    <row r="10">
      <c r="A10" s="8" t="inlineStr">
        <is>
          <t>FY30E FCFF (Rs crore)</t>
        </is>
      </c>
      <c r="B10" s="40" t="n">
        <v>24488.84973990372</v>
      </c>
      <c r="C10" s="40" t="n">
        <v>31406.62674782126</v>
      </c>
      <c r="D10" s="40" t="n">
        <v>37736.47980797491</v>
      </c>
    </row>
    <row r="11">
      <c r="A11" s="8" t="inlineStr">
        <is>
          <t>Enterprise value - Gordon (Rs crore)</t>
        </is>
      </c>
      <c r="B11" s="40" t="n">
        <v>360156.2649846403</v>
      </c>
      <c r="C11" s="40" t="n">
        <v>453039.8175985639</v>
      </c>
      <c r="D11" s="40" t="n">
        <v>538463.5252637203</v>
      </c>
    </row>
    <row r="12">
      <c r="A12" s="8" t="inlineStr">
        <is>
          <t>Enterprise value - Exit multiple (Rs crore)</t>
        </is>
      </c>
      <c r="B12" s="40" t="n">
        <v>430640.7804603312</v>
      </c>
      <c r="C12" s="40" t="n">
        <v>536285.4753723284</v>
      </c>
      <c r="D12" s="40" t="n">
        <v>633375.8109157794</v>
      </c>
    </row>
    <row r="13">
      <c r="A13" s="8" t="inlineStr">
        <is>
          <t>Value per share - Gordon growth (Rs)</t>
        </is>
      </c>
      <c r="B13" s="36" t="n">
        <v>962.2838752038543</v>
      </c>
      <c r="C13" s="36" t="n">
        <v>1185.991853561088</v>
      </c>
      <c r="D13" s="36" t="n">
        <v>1391.732960654432</v>
      </c>
    </row>
    <row r="14">
      <c r="A14" s="8" t="inlineStr">
        <is>
          <t>Value per share - Exit multiple (Rs)</t>
        </is>
      </c>
      <c r="B14" s="36" t="n">
        <v>1132.044268931434</v>
      </c>
      <c r="C14" s="36" t="n">
        <v>1386.487175752236</v>
      </c>
      <c r="D14" s="36" t="n">
        <v>1620.327097581357</v>
      </c>
    </row>
    <row r="15">
      <c r="A15" s="6" t="inlineStr">
        <is>
          <t>Blended value per share (Rs)</t>
        </is>
      </c>
      <c r="B15" s="85" t="n">
        <v>1047.164072067644</v>
      </c>
      <c r="C15" s="85" t="n">
        <v>1286.239514656662</v>
      </c>
      <c r="D15" s="85" t="n">
        <v>1506.030029117895</v>
      </c>
    </row>
    <row r="16">
      <c r="A16" s="6" t="inlineStr">
        <is>
          <t>Upside / (downside) vs market price Rs1,573</t>
        </is>
      </c>
      <c r="B16" s="86" t="n">
        <v>-0.3344581834414911</v>
      </c>
      <c r="C16" s="86" t="n">
        <v>-0.1825099753244479</v>
      </c>
      <c r="D16" s="86" t="n">
        <v>-0.04281861065794845</v>
      </c>
    </row>
    <row r="19">
      <c r="A19" s="6" t="inlineStr">
        <is>
          <t>Scenario definitions (see Inputs sheet section A):</t>
        </is>
      </c>
    </row>
    <row r="20">
      <c r="A20" s="87" t="inlineStr">
        <is>
          <t>Base: constant-currency USD growth 2% (FY26E) rising to ~6-7%, INR depreciation 1.5-2% p.a., employee cost per head +4-4.5%, operating margin ~21-22%.</t>
        </is>
      </c>
    </row>
    <row r="21">
      <c r="A21" s="87" t="inlineStr">
        <is>
          <t>Bull: +1.5 to +2.0pp faster growth in every vertical (GenAI-led deal ramp-up, discretionary recovery), cost per head 0.4pp lower (pyramid, automation).</t>
        </is>
      </c>
    </row>
    <row r="22">
      <c r="A22" s="87" t="inlineStr">
        <is>
          <t>Bear: -2.0 to -2.5pp slower growth (weak discretionary spend, AI-led deflation of effort-based pricing), cost per head 0.5pp higher (wage and skill pressure).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L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90" customWidth="1" min="12" max="12"/>
  </cols>
  <sheetData>
    <row r="1">
      <c r="A1" s="21" t="inlineStr">
        <is>
          <t>Infosys Limited - Model Checks</t>
        </is>
      </c>
    </row>
    <row r="2">
      <c r="A2" s="22" t="inlineStr">
        <is>
          <t>Rs crore unless stated | Consolidated Ind AS financials | FY ends 31 March | Blue = hard-coded input / reported data, Black = formula, Green = cross-sheet link</t>
        </is>
      </c>
    </row>
    <row r="4">
      <c r="A4" s="23" t="inlineStr">
        <is>
          <t>Check</t>
        </is>
      </c>
      <c r="B4" s="24" t="inlineStr">
        <is>
          <t>Unit</t>
        </is>
      </c>
      <c r="C4" s="24" t="inlineStr">
        <is>
          <t>FY23A</t>
        </is>
      </c>
      <c r="D4" s="24" t="inlineStr">
        <is>
          <t>FY24A</t>
        </is>
      </c>
      <c r="E4" s="24" t="inlineStr">
        <is>
          <t>FY25A</t>
        </is>
      </c>
      <c r="F4" s="25" t="inlineStr">
        <is>
          <t>FY26E</t>
        </is>
      </c>
      <c r="G4" s="25" t="inlineStr">
        <is>
          <t>FY27E</t>
        </is>
      </c>
      <c r="H4" s="25" t="inlineStr">
        <is>
          <t>FY28E</t>
        </is>
      </c>
      <c r="I4" s="25" t="inlineStr">
        <is>
          <t>FY29E</t>
        </is>
      </c>
      <c r="J4" s="25" t="inlineStr">
        <is>
          <t>FY30E</t>
        </is>
      </c>
      <c r="K4" s="24" t="n"/>
      <c r="L4" s="23" t="inlineStr">
        <is>
          <t>Notes / source</t>
        </is>
      </c>
    </row>
    <row r="6">
      <c r="A6" s="30" t="inlineStr">
        <is>
          <t>MODEL INTEGRITY CHECKS (all should read OK)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</row>
    <row r="7">
      <c r="A7" s="8" t="inlineStr">
        <is>
          <t>Balance sheet balances (assets = equity + liabilities), all years</t>
        </is>
      </c>
      <c r="B7" s="26" t="inlineStr"/>
      <c r="C7" s="88">
        <f>IF(ABS(BS!C53)&lt;1,"OK","ERROR")</f>
        <v/>
      </c>
      <c r="D7" s="88">
        <f>IF(ABS(BS!D53)&lt;1,"OK","ERROR")</f>
        <v/>
      </c>
      <c r="E7" s="88">
        <f>IF(ABS(BS!E53)&lt;1,"OK","ERROR")</f>
        <v/>
      </c>
      <c r="F7" s="88">
        <f>IF(ABS(BS!F53)&lt;1,"OK","ERROR")</f>
        <v/>
      </c>
      <c r="G7" s="88">
        <f>IF(ABS(BS!G53)&lt;1,"OK","ERROR")</f>
        <v/>
      </c>
      <c r="H7" s="88">
        <f>IF(ABS(BS!H53)&lt;1,"OK","ERROR")</f>
        <v/>
      </c>
      <c r="I7" s="88">
        <f>IF(ABS(BS!I53)&lt;1,"OK","ERROR")</f>
        <v/>
      </c>
      <c r="J7" s="88">
        <f>IF(ABS(BS!J53)&lt;1,"OK","ERROR")</f>
        <v/>
      </c>
    </row>
    <row r="8">
      <c r="A8" s="8" t="inlineStr">
        <is>
          <t>Cash flow closing cash = balance sheet cash (all years)</t>
        </is>
      </c>
      <c r="B8" s="26" t="inlineStr"/>
      <c r="C8" s="88">
        <f>IF(ABS(CF!C49)&lt;1,"OK","ERROR")</f>
        <v/>
      </c>
      <c r="D8" s="88">
        <f>IF(ABS(CF!D49)&lt;1,"OK","ERROR")</f>
        <v/>
      </c>
      <c r="E8" s="88">
        <f>IF(ABS(CF!E49)&lt;1,"OK","ERROR")</f>
        <v/>
      </c>
      <c r="F8" s="88">
        <f>IF(ABS(CF!F49)&lt;1,"OK","ERROR")</f>
        <v/>
      </c>
      <c r="G8" s="88">
        <f>IF(ABS(CF!G49)&lt;1,"OK","ERROR")</f>
        <v/>
      </c>
      <c r="H8" s="88">
        <f>IF(ABS(CF!H49)&lt;1,"OK","ERROR")</f>
        <v/>
      </c>
      <c r="I8" s="88">
        <f>IF(ABS(CF!I49)&lt;1,"OK","ERROR")</f>
        <v/>
      </c>
      <c r="J8" s="88">
        <f>IF(ABS(CF!J49)&lt;1,"OK","ERROR")</f>
        <v/>
      </c>
    </row>
    <row r="9">
      <c r="A9" s="8" t="inlineStr">
        <is>
          <t>Cash balance stays positive (forecast)</t>
        </is>
      </c>
      <c r="B9" s="26" t="inlineStr"/>
      <c r="F9" s="88">
        <f>IF(BS!F23&gt;0,"OK","NEGATIVE CASH")</f>
        <v/>
      </c>
      <c r="G9" s="88">
        <f>IF(BS!G23&gt;0,"OK","NEGATIVE CASH")</f>
        <v/>
      </c>
      <c r="H9" s="88">
        <f>IF(BS!H23&gt;0,"OK","NEGATIVE CASH")</f>
        <v/>
      </c>
      <c r="I9" s="88">
        <f>IF(BS!I23&gt;0,"OK","NEGATIVE CASH")</f>
        <v/>
      </c>
      <c r="J9" s="88">
        <f>IF(BS!J23&gt;0,"OK","NEGATIVE CASH")</f>
        <v/>
      </c>
    </row>
    <row r="10">
      <c r="A10" s="8" t="inlineStr">
        <is>
          <t>Vertical revenue ties to consolidated revenue (historical)</t>
        </is>
      </c>
      <c r="B10" s="26" t="inlineStr"/>
      <c r="C10" s="88">
        <f>IF(ABS(Segments!C16-IS!C7)&lt;1,"OK","ERROR")</f>
        <v/>
      </c>
      <c r="D10" s="88">
        <f>IF(ABS(Segments!D16-IS!D7)&lt;1,"OK","ERROR")</f>
        <v/>
      </c>
      <c r="E10" s="88">
        <f>IF(ABS(Segments!E16-IS!E7)&lt;1,"OK","ERROR")</f>
        <v/>
      </c>
    </row>
    <row r="11">
      <c r="A11" s="8" t="inlineStr">
        <is>
          <t>Segment operating profit ties to income statement (historical)</t>
        </is>
      </c>
      <c r="B11" s="26" t="inlineStr"/>
      <c r="C11" s="88">
        <f>IF(ABS(Segments!C28-IS!C36)&lt;1,"OK","ERROR")</f>
        <v/>
      </c>
      <c r="D11" s="88">
        <f>IF(ABS(Segments!D28-IS!D36)&lt;1,"OK","ERROR")</f>
        <v/>
      </c>
      <c r="E11" s="88">
        <f>IF(ABS(Segments!E28-IS!E36)&lt;1,"OK","ERROR")</f>
        <v/>
      </c>
    </row>
    <row r="12">
      <c r="A12" s="8" t="inlineStr">
        <is>
          <t>Geography revenue ties to consolidated revenue (historical)</t>
        </is>
      </c>
      <c r="B12" s="26" t="inlineStr"/>
      <c r="C12" s="88">
        <f>IF(ABS(Segments!C44-IS!C7)&lt;1,"OK","ERROR")</f>
        <v/>
      </c>
      <c r="D12" s="88">
        <f>IF(ABS(Segments!D44-IS!D7)&lt;1,"OK","ERROR")</f>
        <v/>
      </c>
      <c r="E12" s="88">
        <f>IF(ABS(Segments!E44-IS!E7)&lt;1,"OK","ERROR")</f>
        <v/>
      </c>
    </row>
    <row r="13">
      <c r="A13" s="8" t="inlineStr">
        <is>
          <t>PAT = owners + NCI (all years)</t>
        </is>
      </c>
      <c r="B13" s="26" t="inlineStr"/>
      <c r="C13" s="88">
        <f>IF(ABS(IS!C24-IS!C26-IS!C25)&lt;1,"OK","ERROR")</f>
        <v/>
      </c>
      <c r="D13" s="88">
        <f>IF(ABS(IS!D24-IS!D26-IS!D25)&lt;1,"OK","ERROR")</f>
        <v/>
      </c>
      <c r="E13" s="88">
        <f>IF(ABS(IS!E24-IS!E26-IS!E25)&lt;1,"OK","ERROR")</f>
        <v/>
      </c>
      <c r="F13" s="88">
        <f>IF(ABS(IS!F24-IS!F26-IS!F25)&lt;1,"OK","ERROR")</f>
        <v/>
      </c>
      <c r="G13" s="88">
        <f>IF(ABS(IS!G24-IS!G26-IS!G25)&lt;1,"OK","ERROR")</f>
        <v/>
      </c>
      <c r="H13" s="88">
        <f>IF(ABS(IS!H24-IS!H26-IS!H25)&lt;1,"OK","ERROR")</f>
        <v/>
      </c>
      <c r="I13" s="88">
        <f>IF(ABS(IS!I24-IS!I26-IS!I25)&lt;1,"OK","ERROR")</f>
        <v/>
      </c>
      <c r="J13" s="88">
        <f>IF(ABS(IS!J24-IS!J26-IS!J25)&lt;1,"OK","ERROR")</f>
        <v/>
      </c>
    </row>
    <row r="14">
      <c r="A14" s="8" t="inlineStr">
        <is>
          <t>Operating cash flow ties to reported (hist)</t>
        </is>
      </c>
      <c r="B14" s="26" t="inlineStr"/>
      <c r="C14" s="88">
        <f>IF(ABS(CF!C26-C22)&lt;2,"OK","ERROR")</f>
        <v/>
      </c>
      <c r="D14" s="88">
        <f>IF(ABS(CF!D26-D22)&lt;2,"OK","ERROR")</f>
        <v/>
      </c>
      <c r="E14" s="88">
        <f>IF(ABS(CF!E26-E22)&lt;2,"OK","ERROR")</f>
        <v/>
      </c>
    </row>
    <row r="15">
      <c r="A15" s="8" t="inlineStr">
        <is>
          <t>Net cash movement ties to reported (hist)</t>
        </is>
      </c>
      <c r="B15" s="26" t="inlineStr"/>
      <c r="C15" s="88">
        <f>IF(ABS(CF!C45-C23)&lt;2,"OK","ERROR")</f>
        <v/>
      </c>
      <c r="D15" s="88">
        <f>IF(ABS(CF!D45-D23)&lt;2,"OK","ERROR")</f>
        <v/>
      </c>
      <c r="E15" s="88">
        <f>IF(ABS(CF!E45-E23)&lt;2,"OK","ERROR")</f>
        <v/>
      </c>
    </row>
    <row r="16">
      <c r="A16" s="8" t="inlineStr">
        <is>
          <t>Total assets tie to reported (hist)</t>
        </is>
      </c>
      <c r="B16" s="26" t="inlineStr"/>
      <c r="C16" s="88">
        <f>IF(ABS(BS!C29-C24)&lt;1,"OK","ERROR")</f>
        <v/>
      </c>
      <c r="D16" s="88">
        <f>IF(ABS(BS!D29-D24)&lt;1,"OK","ERROR")</f>
        <v/>
      </c>
      <c r="E16" s="88">
        <f>IF(ABS(BS!E29-E24)&lt;1,"OK","ERROR")</f>
        <v/>
      </c>
    </row>
    <row r="17">
      <c r="A17" s="8" t="inlineStr">
        <is>
          <t>PBT ties to reported (hist)</t>
        </is>
      </c>
      <c r="B17" s="26" t="inlineStr"/>
      <c r="C17" s="88">
        <f>IF(ABS(IS!C20-C25)&lt;1,"OK","ERROR")</f>
        <v/>
      </c>
      <c r="D17" s="88">
        <f>IF(ABS(IS!D20-D25)&lt;1,"OK","ERROR")</f>
        <v/>
      </c>
      <c r="E17" s="88">
        <f>IF(ABS(IS!E20-E25)&lt;1,"OK","ERROR")</f>
        <v/>
      </c>
    </row>
    <row r="18">
      <c r="A18" s="8" t="inlineStr">
        <is>
          <t>WACC &gt; terminal growth</t>
        </is>
      </c>
      <c r="B18" s="26" t="inlineStr"/>
      <c r="C18" s="88">
        <f>IF(WACC!C19&gt;Inputs!C67,"OK","ERROR")</f>
        <v/>
      </c>
    </row>
    <row r="19">
      <c r="A19" s="6" t="inlineStr">
        <is>
          <t>OVERALL MODEL STATUS</t>
        </is>
      </c>
      <c r="B19" s="26" t="inlineStr"/>
      <c r="C19" s="29">
        <f>IF(COUNTIF(C7:J18,"ERROR")+COUNTIF(C7:J18,"NEG*")=0,"ALL CHECKS PASS","REVIEW ERRORS")</f>
        <v/>
      </c>
    </row>
    <row r="21">
      <c r="A21" s="42" t="inlineStr">
        <is>
          <t>Reported figures used for tie-out (hard-coded from audited statements)</t>
        </is>
      </c>
    </row>
    <row r="22">
      <c r="A22" s="8" t="inlineStr">
        <is>
          <t>Reported net cash generated by operating activities</t>
        </is>
      </c>
      <c r="B22" s="26" t="inlineStr">
        <is>
          <t>Rs cr</t>
        </is>
      </c>
      <c r="C22" s="40" t="n">
        <v>22467</v>
      </c>
      <c r="D22" s="40" t="n">
        <v>25210</v>
      </c>
      <c r="E22" s="40" t="n">
        <v>35694</v>
      </c>
    </row>
    <row r="23">
      <c r="A23" s="8" t="inlineStr">
        <is>
          <t>Reported net increase in cash</t>
        </is>
      </c>
      <c r="B23" s="26" t="inlineStr">
        <is>
          <t>Rs cr</t>
        </is>
      </c>
      <c r="C23" s="40" t="n">
        <v>-5437</v>
      </c>
      <c r="D23" s="40" t="n">
        <v>2697</v>
      </c>
      <c r="E23" s="40" t="n">
        <v>9587</v>
      </c>
    </row>
    <row r="24">
      <c r="A24" s="8" t="inlineStr">
        <is>
          <t>Reported total assets</t>
        </is>
      </c>
      <c r="B24" s="26" t="inlineStr">
        <is>
          <t>Rs cr</t>
        </is>
      </c>
      <c r="C24" s="40" t="n">
        <v>125816</v>
      </c>
      <c r="D24" s="40" t="n">
        <v>137814</v>
      </c>
      <c r="E24" s="40" t="n">
        <v>148903</v>
      </c>
    </row>
    <row r="25">
      <c r="A25" s="8" t="inlineStr">
        <is>
          <t>Reported profit before tax</t>
        </is>
      </c>
      <c r="B25" s="26" t="inlineStr">
        <is>
          <t>Rs cr</t>
        </is>
      </c>
      <c r="C25" s="40" t="n">
        <v>33322</v>
      </c>
      <c r="D25" s="40" t="n">
        <v>35988</v>
      </c>
      <c r="E25" s="40" t="n">
        <v>37608</v>
      </c>
    </row>
  </sheetData>
  <conditionalFormatting sqref="C7:J19">
    <cfRule type="cellIs" priority="1" operator="equal" dxfId="0">
      <formula>"OK"</formula>
    </cfRule>
    <cfRule type="cellIs" priority="2" operator="equal" dxfId="0">
      <formula>"ALL CHECKS PASS"</formula>
    </cfRule>
    <cfRule type="cellIs" priority="3" operator="equal" dxfId="1">
      <formula>"ERROR"</formula>
    </cfRule>
    <cfRule type="cellIs" priority="4" operator="equal" dxfId="1">
      <formula>"REVIEW ERRORS"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9" t="inlineStr">
        <is>
          <t>Infosys Limited - DCF Valuation Model: Methodology &amp; Notes</t>
        </is>
      </c>
    </row>
    <row r="2">
      <c r="A2" s="90" t="inlineStr"/>
    </row>
    <row r="3">
      <c r="A3" s="91" t="inlineStr">
        <is>
          <t>PURPOSE</t>
        </is>
      </c>
    </row>
    <row r="4">
      <c r="A4" s="90" t="inlineStr">
        <is>
          <t>Estimate the intrinsic value per share of Infosys Ltd as at 31-Mar-2025 (end FY25) using an integrated forecast of the CONSOLIDATED income statement, balance sheet and cash flow statement for FY26E-FY30E and a DCF of free cash flow to firm. All amounts are in Rs crore (1 crore = 10 million) unless stated.</t>
        </is>
      </c>
    </row>
    <row r="5">
      <c r="A5" s="90" t="inlineStr"/>
    </row>
    <row r="6">
      <c r="A6" s="91" t="inlineStr">
        <is>
          <t>SOURCES</t>
        </is>
      </c>
    </row>
    <row r="7">
      <c r="A7" s="90" t="inlineStr">
        <is>
          <t>Infosys Integrated Annual Report 2024-25 (FY25, FY24 comparatives) and 2023-24 (FY23 comparatives): consolidated Ind AS balance sheet, statement of profit and loss and statement of cash flows; Note 2.26 segment reporting; Note 2.21 leases; MD&amp;A; five-year summary (US$ revenue). Market capitalisation at 31-Mar-2025 is the company-reported Rs6,52,332 crore. Rf: 10-yr G-sec 6.81%.</t>
        </is>
      </c>
    </row>
    <row r="8">
      <c r="A8" s="90" t="inlineStr"/>
    </row>
    <row r="9">
      <c r="A9" s="91" t="inlineStr">
        <is>
          <t>MODEL FLOW</t>
        </is>
      </c>
    </row>
    <row r="10">
      <c r="A10" s="90" t="inlineStr">
        <is>
          <t>Inputs -&gt; Segments (US$ revenue by industry vertical x INR/USD; headcount x cost per head) -&gt; consolidated revenue and employee cost -&gt; IS -&gt; Sched (capex, D&amp;A, leases, dividends) -&gt; BS -&gt; CF -&gt; DCF (FCFF) -&gt; equity bridge -&gt; Sens / Scenarios -&gt; Checks.</t>
        </is>
      </c>
    </row>
    <row r="11">
      <c r="A11" s="90" t="inlineStr"/>
    </row>
    <row r="12">
      <c r="A12" s="91" t="inlineStr">
        <is>
          <t>KEY JUDGEMENTS (be ready to defend in an interview)</t>
        </is>
      </c>
    </row>
    <row r="13">
      <c r="A13" s="90" t="inlineStr">
        <is>
          <t>1. IT SERVICES REVENUE: built bottom-up by industry vertical in US$ (the currency clients pay in) and translated at an assumed average INR/USD. Constant-currency growth is the scenario lever; INR depreciation (1.5-2% p.a.) adds to reported growth and is an explicit assumption, not a free lunch.</t>
        </is>
      </c>
    </row>
    <row r="14">
      <c r="A14" s="90" t="inlineStr">
        <is>
          <t>2. MARGINS: employee cost is built from headcount x cost per head (about 53% of revenue), the single biggest cost. Revenue per head vs cost per head is the margin engine (utilisation, pyramid, pricing, automation). Third-party software / hardware costs are held at 9.75% of revenue.</t>
        </is>
      </c>
    </row>
    <row r="15">
      <c r="A15" s="90" t="inlineStr">
        <is>
          <t>3. NET CASH BUSINESS: Infosys has no borrowings. Cash and investments (Rs47,996 crore incl. non-current) are added in the equity bridge; other income is excluded from FCFF so the cash is not counted twice. Lease liabilities are the only debt-like item.</t>
        </is>
      </c>
    </row>
    <row r="16">
      <c r="A16" s="90" t="inlineStr">
        <is>
          <t>4. LEASES (Ind AS 116): default = leases as debt, new ROU additions deducted from FCFF; switch 2 gives the pre-Ind AS 116 view.</t>
        </is>
      </c>
    </row>
    <row r="17">
      <c r="A17" s="90" t="inlineStr">
        <is>
          <t>5. STOCK-BASED COMPENSATION: added back in the cash flow statement (non-cash) and credited to equity, but NOT added back in FCFF; it is a real cost of employing talent.</t>
        </is>
      </c>
    </row>
    <row r="18">
      <c r="A18" s="90" t="inlineStr">
        <is>
          <t>6. TERMINAL VALUE: Gordon growth 5.5% (about 4% USD growth + 1.5% INR depreciation) is primary; exit EV/EBITDA is a cross-check. Working-capital release excluded from terminal FCFF by default.</t>
        </is>
      </c>
    </row>
    <row r="19">
      <c r="A19" s="90" t="inlineStr">
        <is>
          <t>7. TAX: 27.5% effective rate (history 27-29%), above the 25.17% statutory rate because of overseas taxes and non-deductible items.</t>
        </is>
      </c>
    </row>
    <row r="20">
      <c r="A20" s="90" t="inlineStr">
        <is>
          <t>8. CAPITAL RETURN: dividends follow a stepped DPS path consistent with the policy of returning ~85% of FCF over five years. Buybacks are not forecast (a buyback announced after the valuation date is ignored).</t>
        </is>
      </c>
    </row>
    <row r="21">
      <c r="A21" s="90" t="inlineStr"/>
    </row>
    <row r="22">
      <c r="A22" s="91" t="inlineStr">
        <is>
          <t>KNOWN LIMITATIONS</t>
        </is>
      </c>
    </row>
    <row r="23">
      <c r="A23" s="90" t="inlineStr">
        <is>
          <t>No explicit client-concentration, pricing-model or AI-deflation module; the scenario growth adjustment stands in for these. FX is a single average-rate path (no hedging P&amp;L). Deferred tax, OCI and acquisitions are not forecast. The FY26 guidance cited on the Inputs sheet comes from the Q4 FY25 results release (public, April 2025), not the Annual Report - verify. Scenarios sheet is a pasted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2026-10-06T20:00:17Z</dcterms:created>
  <dcterms:modified xsi:type="dcterms:W3CDTF">2026-10-06T20:00:17Z</dcterms:modified>
</cp:coreProperties>
</file>