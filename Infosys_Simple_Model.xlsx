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Company Overview" sheetId="2" state="visible" r:id="rId2"/>
    <sheet name="Assumptions" sheetId="3" state="visible" r:id="rId3"/>
    <sheet name="Income Statement" sheetId="4" state="visible" r:id="rId4"/>
    <sheet name="Balance Sheet" sheetId="5" state="visible" r:id="rId5"/>
    <sheet name="CFS" sheetId="6" state="visible" r:id="rId6"/>
    <sheet name="Valuation" sheetId="7" state="visible" r:id="rId7"/>
  </sheets>
  <definedNames/>
  <calcPr calcId="124519" fullCalcOnLoad="1"/>
</workbook>
</file>

<file path=xl/styles.xml><?xml version="1.0" encoding="utf-8"?>
<styleSheet xmlns="http://schemas.openxmlformats.org/spreadsheetml/2006/main">
  <numFmts count="7">
    <numFmt numFmtId="164" formatCode="0.0%;(0.0%);&quot;-&quot;"/>
    <numFmt numFmtId="165" formatCode="#,##0;(#,##0);&quot;-&quot;"/>
    <numFmt numFmtId="166" formatCode="#,##0.00;(#,##0.00);&quot;-&quot;"/>
    <numFmt numFmtId="167" formatCode="#,##0.0;(#,##0.0);&quot;-&quot;"/>
    <numFmt numFmtId="168" formatCode="0.0&quot;x&quot;"/>
    <numFmt numFmtId="169" formatCode="0.0%"/>
    <numFmt numFmtId="170" formatCode="0.000"/>
  </numFmts>
  <fonts count="13">
    <font>
      <name val="Calibri"/>
      <family val="2"/>
      <color theme="1"/>
      <sz val="11"/>
      <scheme val="minor"/>
    </font>
    <font>
      <name val="Calibri"/>
      <b val="1"/>
      <color rgb="001F497D"/>
      <sz val="14"/>
    </font>
    <font>
      <name val="Calibri"/>
      <b val="1"/>
      <sz val="10"/>
    </font>
    <font>
      <name val="Calibri"/>
      <i val="1"/>
      <color rgb="00666666"/>
      <sz val="9"/>
    </font>
    <font>
      <name val="Calibri"/>
      <b val="1"/>
      <color rgb="00FFFFFF"/>
      <sz val="10"/>
    </font>
    <font>
      <name val="Calibri"/>
      <b val="1"/>
      <color rgb="001F497D"/>
      <sz val="10"/>
    </font>
    <font>
      <name val="Calibri"/>
      <sz val="10"/>
    </font>
    <font>
      <name val="Calibri"/>
      <color rgb="00006100"/>
      <sz val="10"/>
    </font>
    <font>
      <name val="Calibri"/>
      <color rgb="000000FF"/>
      <sz val="10"/>
    </font>
    <font>
      <name val="Calibri"/>
      <b val="1"/>
      <color rgb="00006100"/>
      <sz val="10"/>
    </font>
    <font>
      <name val="Calibri"/>
      <b val="1"/>
      <color rgb="000000FF"/>
      <sz val="10"/>
    </font>
    <font>
      <name val="Calibri"/>
      <i val="1"/>
      <sz val="9"/>
    </font>
    <font>
      <color rgb="00FFFFFF"/>
      <sz val="9"/>
    </font>
  </fonts>
  <fills count="5">
    <fill>
      <patternFill/>
    </fill>
    <fill>
      <patternFill patternType="gray125"/>
    </fill>
    <fill>
      <patternFill patternType="solid">
        <fgColor rgb="001F497D"/>
      </patternFill>
    </fill>
    <fill>
      <patternFill patternType="solid">
        <fgColor rgb="00DCE6F1"/>
      </patternFill>
    </fill>
    <fill>
      <patternFill patternType="solid">
        <fgColor rgb="00FFFFCC"/>
      </patternFill>
    </fill>
  </fills>
  <borders count="3">
    <border>
      <left/>
      <right/>
      <top/>
      <bottom/>
      <diagonal/>
    </border>
    <border>
      <top style="thin">
        <color rgb="00999999"/>
      </top>
    </border>
    <border>
      <left style="thin">
        <color rgb="00999999"/>
      </left>
      <right style="thin">
        <color rgb="00999999"/>
      </right>
      <top style="thin">
        <color rgb="00999999"/>
      </top>
      <bottom style="thin">
        <color rgb="00999999"/>
      </bottom>
    </border>
  </borders>
  <cellStyleXfs count="1">
    <xf numFmtId="0" fontId="0" fillId="0" borderId="0"/>
  </cellStyleXfs>
  <cellXfs count="6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6" fillId="0" borderId="0" pivotButton="0" quotePrefix="0" xfId="0"/>
    <xf numFmtId="0" fontId="2" fillId="0" borderId="0" applyAlignment="1" pivotButton="0" quotePrefix="0" xfId="0">
      <alignment horizontal="right"/>
    </xf>
    <xf numFmtId="166" fontId="9" fillId="0" borderId="0" applyAlignment="1" pivotButton="0" quotePrefix="0" xfId="0">
      <alignment horizontal="right"/>
    </xf>
    <xf numFmtId="0" fontId="12" fillId="0" borderId="0" pivotButton="0" quotePrefix="0" xfId="0"/>
    <xf numFmtId="166" fontId="7" fillId="0" borderId="0" applyAlignment="1" pivotButton="0" quotePrefix="0" xfId="0">
      <alignment horizontal="right"/>
    </xf>
    <xf numFmtId="164" fontId="9" fillId="0" borderId="0" applyAlignment="1" pivotButton="0" quotePrefix="0" xfId="0">
      <alignment horizontal="right"/>
    </xf>
    <xf numFmtId="165" fontId="7" fillId="0" borderId="0" applyAlignment="1" pivotButton="0" quotePrefix="0" xfId="0">
      <alignment horizontal="right"/>
    </xf>
    <xf numFmtId="10" fontId="7" fillId="0" borderId="0" applyAlignment="1" pivotButton="0" quotePrefix="0" xfId="0">
      <alignment horizontal="right"/>
    </xf>
    <xf numFmtId="169" fontId="7" fillId="0" borderId="0" applyAlignment="1" pivotButton="0" quotePrefix="0" xfId="0">
      <alignment horizontal="right"/>
    </xf>
    <xf numFmtId="0" fontId="6" fillId="0" borderId="0" applyAlignment="1" pivotButton="0" quotePrefix="0" xfId="0">
      <alignment vertical="top" wrapText="1"/>
    </xf>
    <xf numFmtId="164" fontId="7" fillId="0" borderId="0" applyAlignment="1" pivotButton="0" quotePrefix="0" xfId="0">
      <alignment horizontal="right"/>
    </xf>
    <xf numFmtId="0" fontId="11" fillId="0" borderId="0" pivotButton="0" quotePrefix="0" xfId="0"/>
    <xf numFmtId="1" fontId="0" fillId="0" borderId="0" pivotButton="0" quotePrefix="0" xfId="0"/>
    <xf numFmtId="0" fontId="4" fillId="2" borderId="0" applyAlignment="1" pivotButton="0" quotePrefix="0" xfId="0">
      <alignment horizontal="left"/>
    </xf>
    <xf numFmtId="0" fontId="4" fillId="2" borderId="0" applyAlignment="1" pivotButton="0" quotePrefix="0" xfId="0">
      <alignment horizontal="center"/>
    </xf>
    <xf numFmtId="165" fontId="9" fillId="0" borderId="0" pivotButton="0" quotePrefix="0" xfId="0"/>
    <xf numFmtId="165" fontId="7" fillId="0" borderId="0" pivotButton="0" quotePrefix="0" xfId="0"/>
    <xf numFmtId="164" fontId="7" fillId="0" borderId="0" pivotButton="0" quotePrefix="0" xfId="0"/>
    <xf numFmtId="166" fontId="7" fillId="0" borderId="0" pivotButton="0" quotePrefix="0" xfId="0"/>
    <xf numFmtId="167" fontId="7" fillId="0" borderId="0" applyAlignment="1" pivotButton="0" quotePrefix="0" xfId="0">
      <alignment horizontal="right"/>
    </xf>
    <xf numFmtId="168" fontId="7" fillId="0" borderId="0" applyAlignment="1" pivotButton="0" quotePrefix="0" xfId="0">
      <alignment horizontal="right"/>
    </xf>
    <xf numFmtId="0" fontId="5" fillId="3" borderId="0" pivotButton="0" quotePrefix="0" xfId="0"/>
    <xf numFmtId="0" fontId="0" fillId="3" borderId="0" pivotButton="0" quotePrefix="0" xfId="0"/>
    <xf numFmtId="164" fontId="8" fillId="4" borderId="0" applyAlignment="1" pivotButton="0" quotePrefix="0" xfId="0">
      <alignment horizontal="right"/>
    </xf>
    <xf numFmtId="164" fontId="6" fillId="4" borderId="0" applyAlignment="1" pivotButton="0" quotePrefix="0" xfId="0">
      <alignment horizontal="right"/>
    </xf>
    <xf numFmtId="165" fontId="6" fillId="4" borderId="0" applyAlignment="1" pivotButton="0" quotePrefix="0" xfId="0">
      <alignment horizontal="right"/>
    </xf>
    <xf numFmtId="166" fontId="6" fillId="4" borderId="0" applyAlignment="1" pivotButton="0" quotePrefix="0" xfId="0">
      <alignment horizontal="right"/>
    </xf>
    <xf numFmtId="165" fontId="7" fillId="4" borderId="0" applyAlignment="1" pivotButton="0" quotePrefix="0" xfId="0">
      <alignment horizontal="right"/>
    </xf>
    <xf numFmtId="165" fontId="9" fillId="0" borderId="1" applyAlignment="1" pivotButton="0" quotePrefix="0" xfId="0">
      <alignment horizontal="right"/>
    </xf>
    <xf numFmtId="165" fontId="2" fillId="4" borderId="1" applyAlignment="1" pivotButton="0" quotePrefix="0" xfId="0">
      <alignment horizontal="right"/>
    </xf>
    <xf numFmtId="165" fontId="8" fillId="0" borderId="0" applyAlignment="1" pivotButton="0" quotePrefix="0" xfId="0">
      <alignment horizontal="right"/>
    </xf>
    <xf numFmtId="165" fontId="9" fillId="0" borderId="0" applyAlignment="1" pivotButton="0" quotePrefix="0" xfId="0">
      <alignment horizontal="right"/>
    </xf>
    <xf numFmtId="165" fontId="2" fillId="4" borderId="0" applyAlignment="1" pivotButton="0" quotePrefix="0" xfId="0">
      <alignment horizontal="right"/>
    </xf>
    <xf numFmtId="165" fontId="10" fillId="0" borderId="0" applyAlignment="1" pivotButton="0" quotePrefix="0" xfId="0">
      <alignment horizontal="right"/>
    </xf>
    <xf numFmtId="165" fontId="9" fillId="4" borderId="0" applyAlignment="1" pivotButton="0" quotePrefix="0" xfId="0">
      <alignment horizontal="right"/>
    </xf>
    <xf numFmtId="165" fontId="2" fillId="0" borderId="1" applyAlignment="1" pivotButton="0" quotePrefix="0" xfId="0">
      <alignment horizontal="right"/>
    </xf>
    <xf numFmtId="165" fontId="2" fillId="0" borderId="0" applyAlignment="1" pivotButton="0" quotePrefix="0" xfId="0">
      <alignment horizontal="right"/>
    </xf>
    <xf numFmtId="165" fontId="8" fillId="4" borderId="0" applyAlignment="1" pivotButton="0" quotePrefix="0" xfId="0">
      <alignment horizontal="right"/>
    </xf>
    <xf numFmtId="166" fontId="8" fillId="0" borderId="0" applyAlignment="1" pivotButton="0" quotePrefix="0" xfId="0">
      <alignment horizontal="right"/>
    </xf>
    <xf numFmtId="166" fontId="2" fillId="0" borderId="0" applyAlignment="1" pivotButton="0" quotePrefix="0" xfId="0">
      <alignment horizontal="right"/>
    </xf>
    <xf numFmtId="166" fontId="2" fillId="4" borderId="0" applyAlignment="1" pivotButton="0" quotePrefix="0" xfId="0">
      <alignment horizontal="right"/>
    </xf>
    <xf numFmtId="166" fontId="6" fillId="0" borderId="0" applyAlignment="1" pivotButton="0" quotePrefix="0" xfId="0">
      <alignment horizontal="right"/>
    </xf>
    <xf numFmtId="164" fontId="6" fillId="0" borderId="0" applyAlignment="1" pivotButton="0" quotePrefix="0" xfId="0">
      <alignment horizontal="right"/>
    </xf>
    <xf numFmtId="164" fontId="2" fillId="0" borderId="0" applyAlignment="1" pivotButton="0" quotePrefix="0" xfId="0">
      <alignment horizontal="right"/>
    </xf>
    <xf numFmtId="165" fontId="6" fillId="0" borderId="0" applyAlignment="1" pivotButton="0" quotePrefix="0" xfId="0">
      <alignment horizontal="right"/>
    </xf>
    <xf numFmtId="165" fontId="8" fillId="4" borderId="0" pivotButton="0" quotePrefix="0" xfId="0"/>
    <xf numFmtId="10" fontId="6" fillId="0" borderId="0" pivotButton="0" quotePrefix="0" xfId="0"/>
    <xf numFmtId="10" fontId="8" fillId="4" borderId="0" pivotButton="0" quotePrefix="0" xfId="0"/>
    <xf numFmtId="10" fontId="7" fillId="0" borderId="0" pivotButton="0" quotePrefix="0" xfId="0"/>
    <xf numFmtId="10" fontId="2" fillId="0" borderId="0" pivotButton="0" quotePrefix="0" xfId="0"/>
    <xf numFmtId="165" fontId="6" fillId="0" borderId="0" pivotButton="0" quotePrefix="0" xfId="0"/>
    <xf numFmtId="166" fontId="8" fillId="4" borderId="0" pivotButton="0" quotePrefix="0" xfId="0"/>
    <xf numFmtId="165" fontId="2" fillId="0" borderId="1" pivotButton="0" quotePrefix="0" xfId="0"/>
    <xf numFmtId="1" fontId="8" fillId="4" borderId="0" applyAlignment="1" pivotButton="0" quotePrefix="0" xfId="0">
      <alignment horizontal="right"/>
    </xf>
    <xf numFmtId="170" fontId="6" fillId="4" borderId="0" applyAlignment="1" pivotButton="0" quotePrefix="0" xfId="0">
      <alignment horizontal="right"/>
    </xf>
    <xf numFmtId="170" fontId="0" fillId="0" borderId="0" pivotButton="0" quotePrefix="0" xfId="0"/>
    <xf numFmtId="165" fontId="2" fillId="0" borderId="0" pivotButton="0" quotePrefix="0" xfId="0"/>
    <xf numFmtId="0" fontId="2" fillId="4" borderId="0" pivotButton="0" quotePrefix="0" xfId="0"/>
    <xf numFmtId="168" fontId="6" fillId="0" borderId="0" applyAlignment="1" pivotButton="0" quotePrefix="0" xfId="0">
      <alignment horizontal="right"/>
    </xf>
    <xf numFmtId="0" fontId="0" fillId="2" borderId="0" pivotButton="0" quotePrefix="0" xfId="0"/>
    <xf numFmtId="169" fontId="4" fillId="2" borderId="0" applyAlignment="1" pivotButton="0" quotePrefix="0" xfId="0">
      <alignment horizontal="center"/>
    </xf>
    <xf numFmtId="10" fontId="4" fillId="2" borderId="0" applyAlignment="1" pivotButton="0" quotePrefix="0" xfId="0">
      <alignment horizontal="center"/>
    </xf>
    <xf numFmtId="165" fontId="0" fillId="0" borderId="2" pivotButton="0" quotePrefix="0" xfId="0"/>
    <xf numFmtId="165" fontId="2" fillId="4"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Revenue and PAT, FY2023-FY2030 (Rs crore)</a:t>
            </a:r>
          </a:p>
        </rich>
      </tx>
    </title>
    <plotArea>
      <barChart>
        <barDir val="col"/>
        <grouping val="clustered"/>
        <ser>
          <idx val="0"/>
          <order val="0"/>
          <tx>
            <strRef>
              <f>'Income Statement'!A7</f>
            </strRef>
          </tx>
          <spPr>
            <a:ln>
              <a:prstDash val="solid"/>
            </a:ln>
          </spPr>
          <cat>
            <numRef>
              <f>'Assumptions'!$B$5:$I$5</f>
            </numRef>
          </cat>
          <val>
            <numRef>
              <f>'Income Statement'!$B$7:$I$7</f>
            </numRef>
          </val>
        </ser>
        <ser>
          <idx val="1"/>
          <order val="1"/>
          <tx>
            <strRef>
              <f>'Income Statement'!A24</f>
            </strRef>
          </tx>
          <spPr>
            <a:ln>
              <a:prstDash val="solid"/>
            </a:ln>
          </spPr>
          <cat>
            <numRef>
              <f>'Assumptions'!$B$5:$I$5</f>
            </numRef>
          </cat>
          <val>
            <numRef>
              <f>'Income Statement'!$B$24:$I$24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Cash vs PAT, FY2026E-FY2030E (Rs crore)</a:t>
            </a:r>
          </a:p>
        </rich>
      </tx>
    </title>
    <plotArea>
      <barChart>
        <barDir val="col"/>
        <grouping val="clustered"/>
        <ser>
          <idx val="0"/>
          <order val="0"/>
          <tx>
            <strRef>
              <f>'Dashboard'!A37</f>
            </strRef>
          </tx>
          <spPr>
            <a:ln>
              <a:prstDash val="solid"/>
            </a:ln>
          </spPr>
          <cat>
            <numRef>
              <f>'Dashboard'!$B$24:$F$24</f>
            </numRef>
          </cat>
          <val>
            <numRef>
              <f>'Dashboard'!$B$37:$F$37</f>
            </numRef>
          </val>
        </ser>
        <ser>
          <idx val="1"/>
          <order val="1"/>
          <tx>
            <strRef>
              <f>'Dashboard'!A33</f>
            </strRef>
          </tx>
          <spPr>
            <a:ln>
              <a:prstDash val="solid"/>
            </a:ln>
          </spPr>
          <cat>
            <numRef>
              <f>'Dashboard'!$B$24:$F$24</f>
            </numRef>
          </cat>
          <val>
            <numRef>
              <f>'Dashboard'!$B$33:$F$33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DCF value vs market price (Rs per share)</a:t>
            </a:r>
          </a:p>
        </rich>
      </tx>
    </title>
    <plotArea>
      <barChart>
        <barDir val="col"/>
        <grouping val="clustered"/>
        <ser>
          <idx val="0"/>
          <order val="0"/>
          <spPr>
            <a:ln>
              <a:prstDash val="solid"/>
            </a:ln>
          </spPr>
          <cat>
            <numRef>
              <f>'Dashboard'!$L$6:$L$7</f>
            </numRef>
          </cat>
          <val>
            <numRef>
              <f>'Dashboard'!$M$6:$M$7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16</row>
      <rowOff>0</rowOff>
    </from>
    <ext cx="5760000" cy="270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33</row>
      <rowOff>0</rowOff>
    </from>
    <ext cx="5760000" cy="270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47</row>
      <rowOff>0</rowOff>
    </from>
    <ext cx="3600000" cy="270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F497D"/>
    <outlinePr summaryBelow="1" summaryRight="1"/>
    <pageSetUpPr/>
  </sheetPr>
  <dimension ref="A1:M46"/>
  <sheetViews>
    <sheetView showGridLines="0"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34" customWidth="1" min="8" max="8"/>
    <col width="12.5" customWidth="1" min="9" max="9"/>
    <col width="12.5" customWidth="1" min="10" max="10"/>
    <col width="12.5" customWidth="1" min="11" max="11"/>
    <col width="12.5" customWidth="1" min="12" max="12"/>
    <col width="12.5" customWidth="1" min="13" max="13"/>
    <col width="12.5" customWidth="1" min="14" max="14"/>
    <col width="12.5" customWidth="1" min="15" max="15"/>
    <col width="12.5" customWidth="1" min="16" max="16"/>
  </cols>
  <sheetData>
    <row r="1">
      <c r="A1" s="1" t="inlineStr">
        <is>
          <t>Infosys Ltd.</t>
        </is>
      </c>
    </row>
    <row r="2">
      <c r="A2" s="2" t="inlineStr">
        <is>
          <t>Ratio Snapshot</t>
        </is>
      </c>
    </row>
    <row r="3">
      <c r="A3" s="3" t="inlineStr">
        <is>
          <t>(In INR Crores, unless otherwise stated)  |  Blue = reported / hard-coded input, Black = formula, yellow cells = forecast</t>
        </is>
      </c>
    </row>
    <row r="5">
      <c r="A5" s="4" t="inlineStr">
        <is>
          <t>COMPANY DETAILS</t>
        </is>
      </c>
      <c r="B5" s="4" t="n"/>
      <c r="H5" s="4" t="inlineStr">
        <is>
          <t>DCF VALUATION SUMMARY</t>
        </is>
      </c>
      <c r="I5" s="4" t="n"/>
      <c r="J5" s="4" t="n"/>
    </row>
    <row r="6">
      <c r="A6" s="5" t="inlineStr">
        <is>
          <t>Industry</t>
        </is>
      </c>
      <c r="B6" s="6" t="inlineStr">
        <is>
          <t>IT Services &amp; Consulting</t>
        </is>
      </c>
      <c r="H6" s="2" t="inlineStr">
        <is>
          <t>Intrinsic value per share (Rs)</t>
        </is>
      </c>
      <c r="I6" s="7">
        <f>Valuation!B48</f>
        <v/>
      </c>
      <c r="L6" s="8" t="inlineStr">
        <is>
          <t>DCF value</t>
        </is>
      </c>
      <c r="M6" s="8">
        <f>Valuation!B48</f>
        <v/>
      </c>
    </row>
    <row r="7">
      <c r="A7" s="5" t="inlineStr">
        <is>
          <t>Sector</t>
        </is>
      </c>
      <c r="B7" s="6" t="inlineStr">
        <is>
          <t>Information Technology</t>
        </is>
      </c>
      <c r="H7" s="5" t="inlineStr">
        <is>
          <t>Current market price (Rs)</t>
        </is>
      </c>
      <c r="I7" s="9">
        <f>Valuation!B14</f>
        <v/>
      </c>
      <c r="L7" s="8" t="inlineStr">
        <is>
          <t>Market price</t>
        </is>
      </c>
      <c r="M7" s="8">
        <f>Valuation!B14</f>
        <v/>
      </c>
    </row>
    <row r="8">
      <c r="A8" s="5" t="inlineStr">
        <is>
          <t>Current Market Price (Rs)</t>
        </is>
      </c>
      <c r="B8" s="9">
        <f>Valuation!B14</f>
        <v/>
      </c>
      <c r="H8" s="2" t="inlineStr">
        <is>
          <t>Upside / (Downside)</t>
        </is>
      </c>
      <c r="I8" s="10">
        <f>Valuation!B50</f>
        <v/>
      </c>
    </row>
    <row r="9">
      <c r="A9" s="5" t="inlineStr">
        <is>
          <t>Market Capitalization (Rs crore)</t>
        </is>
      </c>
      <c r="B9" s="11">
        <f>Valuation!B15</f>
        <v/>
      </c>
      <c r="H9" s="5" t="inlineStr">
        <is>
          <t>WACC</t>
        </is>
      </c>
      <c r="I9" s="12">
        <f>Valuation!B11</f>
        <v/>
      </c>
    </row>
    <row r="10">
      <c r="A10" s="5" t="inlineStr">
        <is>
          <t>Year end</t>
        </is>
      </c>
      <c r="B10" s="6" t="inlineStr">
        <is>
          <t>FY2025 (31-Mar-2025)</t>
        </is>
      </c>
      <c r="H10" s="5" t="inlineStr">
        <is>
          <t>Long term growth</t>
        </is>
      </c>
      <c r="I10" s="13">
        <f>Valuation!B5</f>
        <v/>
      </c>
    </row>
    <row r="11">
      <c r="H11" s="5" t="inlineStr">
        <is>
          <t>Enterprise value (DCF, Rs crore)</t>
        </is>
      </c>
      <c r="I11" s="11">
        <f>Valuation!B42</f>
        <v/>
      </c>
    </row>
    <row r="12">
      <c r="A12" s="4" t="inlineStr">
        <is>
          <t>COMPANY DESCRIPTION</t>
        </is>
      </c>
      <c r="B12" s="4" t="n"/>
      <c r="C12" s="4" t="n"/>
      <c r="D12" s="4" t="n"/>
      <c r="E12" s="4" t="n"/>
      <c r="F12" s="4" t="n"/>
      <c r="G12" s="4" t="n"/>
      <c r="H12" s="5" t="inlineStr">
        <is>
          <t>Equity value (DCF, Rs crore)</t>
        </is>
      </c>
      <c r="I12" s="11">
        <f>Valuation!B46</f>
        <v/>
      </c>
    </row>
    <row r="13">
      <c r="A13" s="14" t="inlineStr">
        <is>
          <t>Infosys is one of the world's largest IT services and consulting companies. Founded in 1981 and headquartered in Bengaluru, it serves clients in 59 countries across financial services, retail, communication, energy &amp; utilities, manufacturing, hi-tech and life sciences. FY2025 revenue was Rs 1,62,990 crore (US$19.3 bn) with an operating margin of 21.1%, a workforce of about 3.24 lakh people and no borrowings. Growth drivers: large-deal wins (US$11.6 bn TCV in FY25), cloud, data and generative AI (Infosys Topaz), and cost discipline through Project Maximus. Main risks: client discretionary spending, AI-led pricing deflation, wage inflation and rupee appreciation.</t>
        </is>
      </c>
      <c r="H13" s="5" t="inlineStr">
        <is>
          <t>Terminal value % of EV</t>
        </is>
      </c>
      <c r="I13" s="15">
        <f>Valuation!B53</f>
        <v/>
      </c>
    </row>
    <row r="14"/>
    <row r="15">
      <c r="H15" s="16" t="inlineStr">
        <is>
          <t>Check: balance sheet balances (sum of differences)</t>
        </is>
      </c>
      <c r="I15" s="17">
        <f>SUMPRODUCT(ABS('Balance Sheet'!B55:I55))+SUMPRODUCT(ABS(CFS!B39:I39))</f>
        <v/>
      </c>
      <c r="J15" s="2">
        <f>IF(I15=0,"OK","CHECK")</f>
        <v/>
      </c>
    </row>
    <row r="16"/>
    <row r="17"/>
    <row r="18"/>
    <row r="19"/>
    <row r="20"/>
    <row r="21"/>
    <row r="22"/>
    <row r="24">
      <c r="A24" s="18" t="inlineStr">
        <is>
          <t>Financial Year</t>
        </is>
      </c>
      <c r="B24" s="19">
        <f>Assumptions!E5</f>
        <v/>
      </c>
      <c r="C24" s="19">
        <f>Assumptions!F5</f>
        <v/>
      </c>
      <c r="D24" s="19">
        <f>Assumptions!G5</f>
        <v/>
      </c>
      <c r="E24" s="19">
        <f>Assumptions!H5</f>
        <v/>
      </c>
      <c r="F24" s="19">
        <f>Assumptions!I5</f>
        <v/>
      </c>
    </row>
    <row r="26">
      <c r="A26" s="2" t="inlineStr">
        <is>
          <t>Revenue</t>
        </is>
      </c>
      <c r="B26" s="20">
        <f>'Income Statement'!E7</f>
        <v/>
      </c>
      <c r="C26" s="20">
        <f>'Income Statement'!F7</f>
        <v/>
      </c>
      <c r="D26" s="20">
        <f>'Income Statement'!G7</f>
        <v/>
      </c>
      <c r="E26" s="20">
        <f>'Income Statement'!H7</f>
        <v/>
      </c>
      <c r="F26" s="20">
        <f>'Income Statement'!I7</f>
        <v/>
      </c>
    </row>
    <row r="27">
      <c r="A27" s="5" t="inlineStr">
        <is>
          <t>Operating Expenses (excl. D&amp;A)</t>
        </is>
      </c>
      <c r="B27" s="21">
        <f>-'Income Statement'!E15</f>
        <v/>
      </c>
      <c r="C27" s="21">
        <f>-'Income Statement'!F15</f>
        <v/>
      </c>
      <c r="D27" s="21">
        <f>-'Income Statement'!G15</f>
        <v/>
      </c>
      <c r="E27" s="21">
        <f>-'Income Statement'!H15</f>
        <v/>
      </c>
      <c r="F27" s="21">
        <f>-'Income Statement'!I15</f>
        <v/>
      </c>
    </row>
    <row r="28">
      <c r="A28" s="2" t="inlineStr">
        <is>
          <t>EBITDA</t>
        </is>
      </c>
      <c r="B28" s="20">
        <f>'Income Statement'!E16</f>
        <v/>
      </c>
      <c r="C28" s="20">
        <f>'Income Statement'!F16</f>
        <v/>
      </c>
      <c r="D28" s="20">
        <f>'Income Statement'!G16</f>
        <v/>
      </c>
      <c r="E28" s="20">
        <f>'Income Statement'!H16</f>
        <v/>
      </c>
      <c r="F28" s="20">
        <f>'Income Statement'!I16</f>
        <v/>
      </c>
    </row>
    <row r="29">
      <c r="A29" s="5" t="inlineStr">
        <is>
          <t>EBITDA Margin (%)</t>
        </is>
      </c>
      <c r="B29" s="22">
        <f>'Income Statement'!E16/'Income Statement'!E7</f>
        <v/>
      </c>
      <c r="C29" s="22">
        <f>'Income Statement'!F16/'Income Statement'!F7</f>
        <v/>
      </c>
      <c r="D29" s="22">
        <f>'Income Statement'!G16/'Income Statement'!G7</f>
        <v/>
      </c>
      <c r="E29" s="22">
        <f>'Income Statement'!H16/'Income Statement'!H7</f>
        <v/>
      </c>
      <c r="F29" s="22">
        <f>'Income Statement'!I16/'Income Statement'!I7</f>
        <v/>
      </c>
    </row>
    <row r="30">
      <c r="A30" s="5" t="inlineStr">
        <is>
          <t>EBIT (Operating Profit)</t>
        </is>
      </c>
      <c r="B30" s="21">
        <f>'Income Statement'!E18</f>
        <v/>
      </c>
      <c r="C30" s="21">
        <f>'Income Statement'!F18</f>
        <v/>
      </c>
      <c r="D30" s="21">
        <f>'Income Statement'!G18</f>
        <v/>
      </c>
      <c r="E30" s="21">
        <f>'Income Statement'!H18</f>
        <v/>
      </c>
      <c r="F30" s="21">
        <f>'Income Statement'!I18</f>
        <v/>
      </c>
    </row>
    <row r="31">
      <c r="A31" s="5" t="inlineStr">
        <is>
          <t>EBIT Margin (%)</t>
        </is>
      </c>
      <c r="B31" s="22">
        <f>'Income Statement'!E18/'Income Statement'!E7</f>
        <v/>
      </c>
      <c r="C31" s="22">
        <f>'Income Statement'!F18/'Income Statement'!F7</f>
        <v/>
      </c>
      <c r="D31" s="22">
        <f>'Income Statement'!G18/'Income Statement'!G7</f>
        <v/>
      </c>
      <c r="E31" s="22">
        <f>'Income Statement'!H18/'Income Statement'!H7</f>
        <v/>
      </c>
      <c r="F31" s="22">
        <f>'Income Statement'!I18/'Income Statement'!I7</f>
        <v/>
      </c>
    </row>
    <row r="32">
      <c r="A32" s="5" t="inlineStr">
        <is>
          <t>Tax Expenses</t>
        </is>
      </c>
      <c r="B32" s="21">
        <f>-('Income Statement'!E22+'Income Statement'!E23)</f>
        <v/>
      </c>
      <c r="C32" s="21">
        <f>-('Income Statement'!F22+'Income Statement'!F23)</f>
        <v/>
      </c>
      <c r="D32" s="21">
        <f>-('Income Statement'!G22+'Income Statement'!G23)</f>
        <v/>
      </c>
      <c r="E32" s="21">
        <f>-('Income Statement'!H22+'Income Statement'!H23)</f>
        <v/>
      </c>
      <c r="F32" s="21">
        <f>-('Income Statement'!I22+'Income Statement'!I23)</f>
        <v/>
      </c>
    </row>
    <row r="33">
      <c r="A33" s="2" t="inlineStr">
        <is>
          <t>Profit After Tax</t>
        </is>
      </c>
      <c r="B33" s="20">
        <f>'Income Statement'!E24</f>
        <v/>
      </c>
      <c r="C33" s="20">
        <f>'Income Statement'!F24</f>
        <v/>
      </c>
      <c r="D33" s="20">
        <f>'Income Statement'!G24</f>
        <v/>
      </c>
      <c r="E33" s="20">
        <f>'Income Statement'!H24</f>
        <v/>
      </c>
      <c r="F33" s="20">
        <f>'Income Statement'!I24</f>
        <v/>
      </c>
    </row>
    <row r="34">
      <c r="A34" s="5" t="inlineStr">
        <is>
          <t>Net Margin (%)</t>
        </is>
      </c>
      <c r="B34" s="22">
        <f>'Income Statement'!E24/'Income Statement'!E7</f>
        <v/>
      </c>
      <c r="C34" s="22">
        <f>'Income Statement'!F24/'Income Statement'!F7</f>
        <v/>
      </c>
      <c r="D34" s="22">
        <f>'Income Statement'!G24/'Income Statement'!G7</f>
        <v/>
      </c>
      <c r="E34" s="22">
        <f>'Income Statement'!H24/'Income Statement'!H7</f>
        <v/>
      </c>
      <c r="F34" s="22">
        <f>'Income Statement'!I24/'Income Statement'!I7</f>
        <v/>
      </c>
    </row>
    <row r="35">
      <c r="A35" s="5" t="inlineStr">
        <is>
          <t>EPS (Rs)</t>
        </is>
      </c>
      <c r="B35" s="23">
        <f>'Income Statement'!E32</f>
        <v/>
      </c>
      <c r="C35" s="23">
        <f>'Income Statement'!F32</f>
        <v/>
      </c>
      <c r="D35" s="23">
        <f>'Income Statement'!G32</f>
        <v/>
      </c>
      <c r="E35" s="23">
        <f>'Income Statement'!H32</f>
        <v/>
      </c>
      <c r="F35" s="23">
        <f>'Income Statement'!I32</f>
        <v/>
      </c>
    </row>
    <row r="36">
      <c r="A36" s="5" t="inlineStr">
        <is>
          <t>Free Cash Flow</t>
        </is>
      </c>
      <c r="B36" s="21">
        <f>CFS!E41</f>
        <v/>
      </c>
      <c r="C36" s="21">
        <f>CFS!F41</f>
        <v/>
      </c>
      <c r="D36" s="21">
        <f>CFS!G41</f>
        <v/>
      </c>
      <c r="E36" s="21">
        <f>CFS!H41</f>
        <v/>
      </c>
      <c r="F36" s="21">
        <f>CFS!I41</f>
        <v/>
      </c>
    </row>
    <row r="37">
      <c r="A37" s="2" t="inlineStr">
        <is>
          <t>Cash</t>
        </is>
      </c>
      <c r="B37" s="20">
        <f>'Balance Sheet'!E8</f>
        <v/>
      </c>
      <c r="C37" s="20">
        <f>'Balance Sheet'!F8</f>
        <v/>
      </c>
      <c r="D37" s="20">
        <f>'Balance Sheet'!G8</f>
        <v/>
      </c>
      <c r="E37" s="20">
        <f>'Balance Sheet'!H8</f>
        <v/>
      </c>
      <c r="F37" s="20">
        <f>'Balance Sheet'!I8</f>
        <v/>
      </c>
    </row>
    <row r="38">
      <c r="A38" s="5" t="inlineStr">
        <is>
          <t>Cash + Investments</t>
        </is>
      </c>
      <c r="B38" s="21">
        <f>'Balance Sheet'!E8+'Balance Sheet'!E9+'Balance Sheet'!E22</f>
        <v/>
      </c>
      <c r="C38" s="21">
        <f>'Balance Sheet'!F8+'Balance Sheet'!F9+'Balance Sheet'!F22</f>
        <v/>
      </c>
      <c r="D38" s="21">
        <f>'Balance Sheet'!G8+'Balance Sheet'!G9+'Balance Sheet'!G22</f>
        <v/>
      </c>
      <c r="E38" s="21">
        <f>'Balance Sheet'!H8+'Balance Sheet'!H9+'Balance Sheet'!H22</f>
        <v/>
      </c>
      <c r="F38" s="21">
        <f>'Balance Sheet'!I8+'Balance Sheet'!I9+'Balance Sheet'!I22</f>
        <v/>
      </c>
    </row>
    <row r="39">
      <c r="A39" s="5" t="inlineStr">
        <is>
          <t>Return On Equity (%)</t>
        </is>
      </c>
      <c r="B39" s="22">
        <f>'Income Statement'!E24/'Balance Sheet'!E53</f>
        <v/>
      </c>
      <c r="C39" s="22">
        <f>'Income Statement'!F24/'Balance Sheet'!F53</f>
        <v/>
      </c>
      <c r="D39" s="22">
        <f>'Income Statement'!G24/'Balance Sheet'!G53</f>
        <v/>
      </c>
      <c r="E39" s="22">
        <f>'Income Statement'!H24/'Balance Sheet'!H53</f>
        <v/>
      </c>
      <c r="F39" s="22">
        <f>'Income Statement'!I24/'Balance Sheet'!I53</f>
        <v/>
      </c>
    </row>
    <row r="40">
      <c r="A40" s="5" t="inlineStr">
        <is>
          <t>Return on Capital Employed (%)</t>
        </is>
      </c>
      <c r="B40" s="22">
        <f>'Income Statement'!E18/('Balance Sheet'!E30-'Balance Sheet'!E39)</f>
        <v/>
      </c>
      <c r="C40" s="22">
        <f>'Income Statement'!F18/('Balance Sheet'!F30-'Balance Sheet'!F39)</f>
        <v/>
      </c>
      <c r="D40" s="22">
        <f>'Income Statement'!G18/('Balance Sheet'!G30-'Balance Sheet'!G39)</f>
        <v/>
      </c>
      <c r="E40" s="22">
        <f>'Income Statement'!H18/('Balance Sheet'!H30-'Balance Sheet'!H39)</f>
        <v/>
      </c>
      <c r="F40" s="22">
        <f>'Income Statement'!I18/('Balance Sheet'!I30-'Balance Sheet'!I39)</f>
        <v/>
      </c>
    </row>
    <row r="42">
      <c r="A42" s="4" t="inlineStr">
        <is>
          <t>Enterprise Value</t>
        </is>
      </c>
      <c r="B42" s="19">
        <f>B24</f>
        <v/>
      </c>
      <c r="C42" s="19">
        <f>C24</f>
        <v/>
      </c>
      <c r="D42" s="19">
        <f>D24</f>
        <v/>
      </c>
      <c r="E42" s="19">
        <f>E24</f>
        <v/>
      </c>
      <c r="F42" s="19">
        <f>F24</f>
        <v/>
      </c>
    </row>
    <row r="43">
      <c r="A43" s="5" t="inlineStr">
        <is>
          <t>Net Debt (lease liabilities less cash &amp; investments)</t>
        </is>
      </c>
      <c r="B43" s="21">
        <f>'Balance Sheet'!E34+'Balance Sheet'!E41-('Balance Sheet'!E8+'Balance Sheet'!E9+'Balance Sheet'!E22)</f>
        <v/>
      </c>
      <c r="C43" s="21">
        <f>'Balance Sheet'!F34+'Balance Sheet'!F41-('Balance Sheet'!F8+'Balance Sheet'!F9+'Balance Sheet'!F22)</f>
        <v/>
      </c>
      <c r="D43" s="21">
        <f>'Balance Sheet'!G34+'Balance Sheet'!G41-('Balance Sheet'!G8+'Balance Sheet'!G9+'Balance Sheet'!G22)</f>
        <v/>
      </c>
      <c r="E43" s="21">
        <f>'Balance Sheet'!H34+'Balance Sheet'!H41-('Balance Sheet'!H8+'Balance Sheet'!H9+'Balance Sheet'!H22)</f>
        <v/>
      </c>
      <c r="F43" s="21">
        <f>'Balance Sheet'!I34+'Balance Sheet'!I41-('Balance Sheet'!I8+'Balance Sheet'!I9+'Balance Sheet'!I22)</f>
        <v/>
      </c>
    </row>
    <row r="44">
      <c r="A44" s="5" t="inlineStr">
        <is>
          <t>Market Capitalisation (at current price)</t>
        </is>
      </c>
      <c r="B44" s="21">
        <f>Valuation!$B$15</f>
        <v/>
      </c>
      <c r="C44" s="21">
        <f>Valuation!$B$15</f>
        <v/>
      </c>
      <c r="D44" s="21">
        <f>Valuation!$B$15</f>
        <v/>
      </c>
      <c r="E44" s="21">
        <f>Valuation!$B$15</f>
        <v/>
      </c>
      <c r="F44" s="21">
        <f>Valuation!$B$15</f>
        <v/>
      </c>
    </row>
    <row r="45">
      <c r="A45" s="5" t="inlineStr">
        <is>
          <t>Cash and Cash Equivalent</t>
        </is>
      </c>
      <c r="B45" s="21">
        <f>'Balance Sheet'!E8</f>
        <v/>
      </c>
      <c r="C45" s="21">
        <f>'Balance Sheet'!F8</f>
        <v/>
      </c>
      <c r="D45" s="21">
        <f>'Balance Sheet'!G8</f>
        <v/>
      </c>
      <c r="E45" s="21">
        <f>'Balance Sheet'!H8</f>
        <v/>
      </c>
      <c r="F45" s="21">
        <f>'Balance Sheet'!I8</f>
        <v/>
      </c>
    </row>
    <row r="46">
      <c r="A46" s="2" t="inlineStr">
        <is>
          <t>Enterprise Value (EV)</t>
        </is>
      </c>
      <c r="B46" s="20">
        <f>B43+B44</f>
        <v/>
      </c>
      <c r="C46" s="20">
        <f>C43+C44</f>
        <v/>
      </c>
      <c r="D46" s="20">
        <f>D43+D44</f>
        <v/>
      </c>
      <c r="E46" s="20">
        <f>E43+E44</f>
        <v/>
      </c>
      <c r="F46" s="20">
        <f>F43+F44</f>
        <v/>
      </c>
    </row>
  </sheetData>
  <mergeCells count="1">
    <mergeCell ref="A13:G2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4F81BD"/>
    <outlinePr summaryBelow="1" summaryRight="1"/>
    <pageSetUpPr/>
  </sheetPr>
  <dimension ref="A1:I61"/>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46"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 width="12.5" customWidth="1" min="15" max="15"/>
    <col width="12.5" customWidth="1" min="16" max="16"/>
  </cols>
  <sheetData>
    <row r="1">
      <c r="A1" s="1" t="inlineStr">
        <is>
          <t>Infosys Limited</t>
        </is>
      </c>
    </row>
    <row r="2">
      <c r="A2" s="2" t="inlineStr">
        <is>
          <t>Ratio Snapshot</t>
        </is>
      </c>
    </row>
    <row r="3">
      <c r="A3" s="3" t="inlineStr">
        <is>
          <t>(In INR Crores, unless otherwise stated)  |  Blue = reported / hard-coded input, Black = formula, yellow cells = forecast</t>
        </is>
      </c>
    </row>
    <row r="6">
      <c r="A6" s="18" t="inlineStr">
        <is>
          <t>HIGHLIGHTS FROM INCOME STATEMENT</t>
        </is>
      </c>
      <c r="B6" s="19">
        <f>Assumptions!B5</f>
        <v/>
      </c>
      <c r="C6" s="19">
        <f>Assumptions!C5</f>
        <v/>
      </c>
      <c r="D6" s="19">
        <f>Assumptions!D5</f>
        <v/>
      </c>
      <c r="E6" s="19">
        <f>Assumptions!E5</f>
        <v/>
      </c>
      <c r="F6" s="19">
        <f>Assumptions!F5</f>
        <v/>
      </c>
      <c r="G6" s="19">
        <f>Assumptions!G5</f>
        <v/>
      </c>
      <c r="H6" s="19">
        <f>Assumptions!H5</f>
        <v/>
      </c>
      <c r="I6" s="19">
        <f>Assumptions!I5</f>
        <v/>
      </c>
    </row>
    <row r="7">
      <c r="A7" s="5" t="inlineStr">
        <is>
          <t>Revenue</t>
        </is>
      </c>
      <c r="B7" s="11">
        <f>'Income Statement'!B7</f>
        <v/>
      </c>
      <c r="C7" s="11">
        <f>'Income Statement'!C7</f>
        <v/>
      </c>
      <c r="D7" s="11">
        <f>'Income Statement'!D7</f>
        <v/>
      </c>
      <c r="E7" s="11">
        <f>'Income Statement'!E7</f>
        <v/>
      </c>
      <c r="F7" s="11">
        <f>'Income Statement'!F7</f>
        <v/>
      </c>
      <c r="G7" s="11">
        <f>'Income Statement'!G7</f>
        <v/>
      </c>
      <c r="H7" s="11">
        <f>'Income Statement'!H7</f>
        <v/>
      </c>
      <c r="I7" s="11">
        <f>'Income Statement'!I7</f>
        <v/>
      </c>
    </row>
    <row r="8">
      <c r="A8" s="5" t="inlineStr">
        <is>
          <t>EBITDA</t>
        </is>
      </c>
      <c r="B8" s="11">
        <f>'Income Statement'!B16</f>
        <v/>
      </c>
      <c r="C8" s="11">
        <f>'Income Statement'!C16</f>
        <v/>
      </c>
      <c r="D8" s="11">
        <f>'Income Statement'!D16</f>
        <v/>
      </c>
      <c r="E8" s="11">
        <f>'Income Statement'!E16</f>
        <v/>
      </c>
      <c r="F8" s="11">
        <f>'Income Statement'!F16</f>
        <v/>
      </c>
      <c r="G8" s="11">
        <f>'Income Statement'!G16</f>
        <v/>
      </c>
      <c r="H8" s="11">
        <f>'Income Statement'!H16</f>
        <v/>
      </c>
      <c r="I8" s="11">
        <f>'Income Statement'!I16</f>
        <v/>
      </c>
    </row>
    <row r="9">
      <c r="A9" s="5" t="inlineStr">
        <is>
          <t>EBIT</t>
        </is>
      </c>
      <c r="B9" s="11">
        <f>'Income Statement'!B18</f>
        <v/>
      </c>
      <c r="C9" s="11">
        <f>'Income Statement'!C18</f>
        <v/>
      </c>
      <c r="D9" s="11">
        <f>'Income Statement'!D18</f>
        <v/>
      </c>
      <c r="E9" s="11">
        <f>'Income Statement'!E18</f>
        <v/>
      </c>
      <c r="F9" s="11">
        <f>'Income Statement'!F18</f>
        <v/>
      </c>
      <c r="G9" s="11">
        <f>'Income Statement'!G18</f>
        <v/>
      </c>
      <c r="H9" s="11">
        <f>'Income Statement'!H18</f>
        <v/>
      </c>
      <c r="I9" s="11">
        <f>'Income Statement'!I18</f>
        <v/>
      </c>
    </row>
    <row r="10">
      <c r="A10" s="5" t="inlineStr">
        <is>
          <t>PBT</t>
        </is>
      </c>
      <c r="B10" s="11">
        <f>'Income Statement'!B21</f>
        <v/>
      </c>
      <c r="C10" s="11">
        <f>'Income Statement'!C21</f>
        <v/>
      </c>
      <c r="D10" s="11">
        <f>'Income Statement'!D21</f>
        <v/>
      </c>
      <c r="E10" s="11">
        <f>'Income Statement'!E21</f>
        <v/>
      </c>
      <c r="F10" s="11">
        <f>'Income Statement'!F21</f>
        <v/>
      </c>
      <c r="G10" s="11">
        <f>'Income Statement'!G21</f>
        <v/>
      </c>
      <c r="H10" s="11">
        <f>'Income Statement'!H21</f>
        <v/>
      </c>
      <c r="I10" s="11">
        <f>'Income Statement'!I21</f>
        <v/>
      </c>
    </row>
    <row r="11">
      <c r="A11" s="5" t="inlineStr">
        <is>
          <t>PAT</t>
        </is>
      </c>
      <c r="B11" s="11">
        <f>'Income Statement'!B24</f>
        <v/>
      </c>
      <c r="C11" s="11">
        <f>'Income Statement'!C24</f>
        <v/>
      </c>
      <c r="D11" s="11">
        <f>'Income Statement'!D24</f>
        <v/>
      </c>
      <c r="E11" s="11">
        <f>'Income Statement'!E24</f>
        <v/>
      </c>
      <c r="F11" s="11">
        <f>'Income Statement'!F24</f>
        <v/>
      </c>
      <c r="G11" s="11">
        <f>'Income Statement'!G24</f>
        <v/>
      </c>
      <c r="H11" s="11">
        <f>'Income Statement'!H24</f>
        <v/>
      </c>
      <c r="I11" s="11">
        <f>'Income Statement'!I24</f>
        <v/>
      </c>
    </row>
    <row r="12">
      <c r="A12" s="5" t="inlineStr">
        <is>
          <t>EPS (Rs)</t>
        </is>
      </c>
      <c r="B12" s="9">
        <f>'Income Statement'!B32</f>
        <v/>
      </c>
      <c r="C12" s="9">
        <f>'Income Statement'!C32</f>
        <v/>
      </c>
      <c r="D12" s="9">
        <f>'Income Statement'!D32</f>
        <v/>
      </c>
      <c r="E12" s="9">
        <f>'Income Statement'!E32</f>
        <v/>
      </c>
      <c r="F12" s="9">
        <f>'Income Statement'!F32</f>
        <v/>
      </c>
      <c r="G12" s="9">
        <f>'Income Statement'!G32</f>
        <v/>
      </c>
      <c r="H12" s="9">
        <f>'Income Statement'!H32</f>
        <v/>
      </c>
      <c r="I12" s="9">
        <f>'Income Statement'!I32</f>
        <v/>
      </c>
    </row>
    <row r="14">
      <c r="A14" s="18" t="inlineStr">
        <is>
          <t>HIGHLIGHTS FROM BALANCE SHEET</t>
        </is>
      </c>
      <c r="B14" s="19">
        <f>Assumptions!B5</f>
        <v/>
      </c>
      <c r="C14" s="19">
        <f>Assumptions!C5</f>
        <v/>
      </c>
      <c r="D14" s="19">
        <f>Assumptions!D5</f>
        <v/>
      </c>
      <c r="E14" s="19">
        <f>Assumptions!E5</f>
        <v/>
      </c>
      <c r="F14" s="19">
        <f>Assumptions!F5</f>
        <v/>
      </c>
      <c r="G14" s="19">
        <f>Assumptions!G5</f>
        <v/>
      </c>
      <c r="H14" s="19">
        <f>Assumptions!H5</f>
        <v/>
      </c>
      <c r="I14" s="19">
        <f>Assumptions!I5</f>
        <v/>
      </c>
    </row>
    <row r="15">
      <c r="A15" s="5" t="inlineStr">
        <is>
          <t>Fixed Assets (PPE + ROU + Intangibles)</t>
        </is>
      </c>
      <c r="B15" s="11">
        <f>'Balance Sheet'!B17+'Balance Sheet'!B18+'Balance Sheet'!B21</f>
        <v/>
      </c>
      <c r="C15" s="11">
        <f>'Balance Sheet'!C17+'Balance Sheet'!C18+'Balance Sheet'!C21</f>
        <v/>
      </c>
      <c r="D15" s="11">
        <f>'Balance Sheet'!D17+'Balance Sheet'!D18+'Balance Sheet'!D21</f>
        <v/>
      </c>
      <c r="E15" s="11">
        <f>'Balance Sheet'!E17+'Balance Sheet'!E18+'Balance Sheet'!E21</f>
        <v/>
      </c>
      <c r="F15" s="11">
        <f>'Balance Sheet'!F17+'Balance Sheet'!F18+'Balance Sheet'!F21</f>
        <v/>
      </c>
      <c r="G15" s="11">
        <f>'Balance Sheet'!G17+'Balance Sheet'!G18+'Balance Sheet'!G21</f>
        <v/>
      </c>
      <c r="H15" s="11">
        <f>'Balance Sheet'!H17+'Balance Sheet'!H18+'Balance Sheet'!H21</f>
        <v/>
      </c>
      <c r="I15" s="11">
        <f>'Balance Sheet'!I17+'Balance Sheet'!I18+'Balance Sheet'!I21</f>
        <v/>
      </c>
    </row>
    <row r="16">
      <c r="A16" s="5" t="inlineStr">
        <is>
          <t>Cash &amp; Cash Equivalents</t>
        </is>
      </c>
      <c r="B16" s="11">
        <f>'Balance Sheet'!B8</f>
        <v/>
      </c>
      <c r="C16" s="11">
        <f>'Balance Sheet'!C8</f>
        <v/>
      </c>
      <c r="D16" s="11">
        <f>'Balance Sheet'!D8</f>
        <v/>
      </c>
      <c r="E16" s="11">
        <f>'Balance Sheet'!E8</f>
        <v/>
      </c>
      <c r="F16" s="11">
        <f>'Balance Sheet'!F8</f>
        <v/>
      </c>
      <c r="G16" s="11">
        <f>'Balance Sheet'!G8</f>
        <v/>
      </c>
      <c r="H16" s="11">
        <f>'Balance Sheet'!H8</f>
        <v/>
      </c>
      <c r="I16" s="11">
        <f>'Balance Sheet'!I8</f>
        <v/>
      </c>
    </row>
    <row r="17">
      <c r="A17" s="5" t="inlineStr">
        <is>
          <t>Cash + Investments</t>
        </is>
      </c>
      <c r="B17" s="11">
        <f>'Balance Sheet'!B8+'Balance Sheet'!B9+'Balance Sheet'!B22</f>
        <v/>
      </c>
      <c r="C17" s="11">
        <f>'Balance Sheet'!C8+'Balance Sheet'!C9+'Balance Sheet'!C22</f>
        <v/>
      </c>
      <c r="D17" s="11">
        <f>'Balance Sheet'!D8+'Balance Sheet'!D9+'Balance Sheet'!D22</f>
        <v/>
      </c>
      <c r="E17" s="11">
        <f>'Balance Sheet'!E8+'Balance Sheet'!E9+'Balance Sheet'!E22</f>
        <v/>
      </c>
      <c r="F17" s="11">
        <f>'Balance Sheet'!F8+'Balance Sheet'!F9+'Balance Sheet'!F22</f>
        <v/>
      </c>
      <c r="G17" s="11">
        <f>'Balance Sheet'!G8+'Balance Sheet'!G9+'Balance Sheet'!G22</f>
        <v/>
      </c>
      <c r="H17" s="11">
        <f>'Balance Sheet'!H8+'Balance Sheet'!H9+'Balance Sheet'!H22</f>
        <v/>
      </c>
      <c r="I17" s="11">
        <f>'Balance Sheet'!I8+'Balance Sheet'!I9+'Balance Sheet'!I22</f>
        <v/>
      </c>
    </row>
    <row r="18">
      <c r="A18" s="5" t="inlineStr">
        <is>
          <t>Working Capital (Current Assets - Current Liabilities)</t>
        </is>
      </c>
      <c r="B18" s="11">
        <f>'Balance Sheet'!B15-'Balance Sheet'!B39</f>
        <v/>
      </c>
      <c r="C18" s="11">
        <f>'Balance Sheet'!C15-'Balance Sheet'!C39</f>
        <v/>
      </c>
      <c r="D18" s="11">
        <f>'Balance Sheet'!D15-'Balance Sheet'!D39</f>
        <v/>
      </c>
      <c r="E18" s="11">
        <f>'Balance Sheet'!E15-'Balance Sheet'!E39</f>
        <v/>
      </c>
      <c r="F18" s="11">
        <f>'Balance Sheet'!F15-'Balance Sheet'!F39</f>
        <v/>
      </c>
      <c r="G18" s="11">
        <f>'Balance Sheet'!G15-'Balance Sheet'!G39</f>
        <v/>
      </c>
      <c r="H18" s="11">
        <f>'Balance Sheet'!H15-'Balance Sheet'!H39</f>
        <v/>
      </c>
      <c r="I18" s="11">
        <f>'Balance Sheet'!I15-'Balance Sheet'!I39</f>
        <v/>
      </c>
    </row>
    <row r="19">
      <c r="A19" s="5" t="inlineStr">
        <is>
          <t>Lease Liabilities</t>
        </is>
      </c>
      <c r="B19" s="11">
        <f>'Balance Sheet'!B34+'Balance Sheet'!B41</f>
        <v/>
      </c>
      <c r="C19" s="11">
        <f>'Balance Sheet'!C34+'Balance Sheet'!C41</f>
        <v/>
      </c>
      <c r="D19" s="11">
        <f>'Balance Sheet'!D34+'Balance Sheet'!D41</f>
        <v/>
      </c>
      <c r="E19" s="11">
        <f>'Balance Sheet'!E34+'Balance Sheet'!E41</f>
        <v/>
      </c>
      <c r="F19" s="11">
        <f>'Balance Sheet'!F34+'Balance Sheet'!F41</f>
        <v/>
      </c>
      <c r="G19" s="11">
        <f>'Balance Sheet'!G34+'Balance Sheet'!G41</f>
        <v/>
      </c>
      <c r="H19" s="11">
        <f>'Balance Sheet'!H34+'Balance Sheet'!H41</f>
        <v/>
      </c>
      <c r="I19" s="11">
        <f>'Balance Sheet'!I34+'Balance Sheet'!I41</f>
        <v/>
      </c>
    </row>
    <row r="20">
      <c r="A20" s="5" t="inlineStr">
        <is>
          <t>Equity (Share Capital)</t>
        </is>
      </c>
      <c r="B20" s="11">
        <f>'Balance Sheet'!B49</f>
        <v/>
      </c>
      <c r="C20" s="11">
        <f>'Balance Sheet'!C49</f>
        <v/>
      </c>
      <c r="D20" s="11">
        <f>'Balance Sheet'!D49</f>
        <v/>
      </c>
      <c r="E20" s="11">
        <f>'Balance Sheet'!E49</f>
        <v/>
      </c>
      <c r="F20" s="11">
        <f>'Balance Sheet'!F49</f>
        <v/>
      </c>
      <c r="G20" s="11">
        <f>'Balance Sheet'!G49</f>
        <v/>
      </c>
      <c r="H20" s="11">
        <f>'Balance Sheet'!H49</f>
        <v/>
      </c>
      <c r="I20" s="11">
        <f>'Balance Sheet'!I49</f>
        <v/>
      </c>
    </row>
    <row r="21">
      <c r="A21" s="5" t="inlineStr">
        <is>
          <t>Shareholders' Funds (Reserves)</t>
        </is>
      </c>
      <c r="B21" s="11">
        <f>'Balance Sheet'!B50</f>
        <v/>
      </c>
      <c r="C21" s="11">
        <f>'Balance Sheet'!C50</f>
        <v/>
      </c>
      <c r="D21" s="11">
        <f>'Balance Sheet'!D50</f>
        <v/>
      </c>
      <c r="E21" s="11">
        <f>'Balance Sheet'!E50</f>
        <v/>
      </c>
      <c r="F21" s="11">
        <f>'Balance Sheet'!F50</f>
        <v/>
      </c>
      <c r="G21" s="11">
        <f>'Balance Sheet'!G50</f>
        <v/>
      </c>
      <c r="H21" s="11">
        <f>'Balance Sheet'!H50</f>
        <v/>
      </c>
      <c r="I21" s="11">
        <f>'Balance Sheet'!I50</f>
        <v/>
      </c>
    </row>
    <row r="23">
      <c r="A23" s="18" t="inlineStr">
        <is>
          <t>GROWTH</t>
        </is>
      </c>
      <c r="B23" s="19">
        <f>Assumptions!B5</f>
        <v/>
      </c>
      <c r="C23" s="19">
        <f>Assumptions!C5</f>
        <v/>
      </c>
      <c r="D23" s="19">
        <f>Assumptions!D5</f>
        <v/>
      </c>
      <c r="E23" s="19">
        <f>Assumptions!E5</f>
        <v/>
      </c>
      <c r="F23" s="19">
        <f>Assumptions!F5</f>
        <v/>
      </c>
      <c r="G23" s="19">
        <f>Assumptions!G5</f>
        <v/>
      </c>
      <c r="H23" s="19">
        <f>Assumptions!H5</f>
        <v/>
      </c>
      <c r="I23" s="19">
        <f>Assumptions!I5</f>
        <v/>
      </c>
    </row>
    <row r="24">
      <c r="A24" s="5" t="inlineStr">
        <is>
          <t>Revenue Growth y-o-y</t>
        </is>
      </c>
      <c r="C24" s="15">
        <f>'Income Statement'!C7/'Income Statement'!B7-1</f>
        <v/>
      </c>
      <c r="D24" s="15">
        <f>'Income Statement'!D7/'Income Statement'!C7-1</f>
        <v/>
      </c>
      <c r="E24" s="15">
        <f>'Income Statement'!E7/'Income Statement'!D7-1</f>
        <v/>
      </c>
      <c r="F24" s="15">
        <f>'Income Statement'!F7/'Income Statement'!E7-1</f>
        <v/>
      </c>
      <c r="G24" s="15">
        <f>'Income Statement'!G7/'Income Statement'!F7-1</f>
        <v/>
      </c>
      <c r="H24" s="15">
        <f>'Income Statement'!H7/'Income Statement'!G7-1</f>
        <v/>
      </c>
      <c r="I24" s="15">
        <f>'Income Statement'!I7/'Income Statement'!H7-1</f>
        <v/>
      </c>
    </row>
    <row r="25">
      <c r="A25" s="5" t="inlineStr">
        <is>
          <t>EBIT Growth y-o-y</t>
        </is>
      </c>
      <c r="C25" s="15">
        <f>'Income Statement'!C18/'Income Statement'!B18-1</f>
        <v/>
      </c>
      <c r="D25" s="15">
        <f>'Income Statement'!D18/'Income Statement'!C18-1</f>
        <v/>
      </c>
      <c r="E25" s="15">
        <f>'Income Statement'!E18/'Income Statement'!D18-1</f>
        <v/>
      </c>
      <c r="F25" s="15">
        <f>'Income Statement'!F18/'Income Statement'!E18-1</f>
        <v/>
      </c>
      <c r="G25" s="15">
        <f>'Income Statement'!G18/'Income Statement'!F18-1</f>
        <v/>
      </c>
      <c r="H25" s="15">
        <f>'Income Statement'!H18/'Income Statement'!G18-1</f>
        <v/>
      </c>
      <c r="I25" s="15">
        <f>'Income Statement'!I18/'Income Statement'!H18-1</f>
        <v/>
      </c>
    </row>
    <row r="26">
      <c r="A26" s="5" t="inlineStr">
        <is>
          <t>PAT Growth y-o-y</t>
        </is>
      </c>
      <c r="C26" s="15">
        <f>'Income Statement'!C24/'Income Statement'!B24-1</f>
        <v/>
      </c>
      <c r="D26" s="15">
        <f>'Income Statement'!D24/'Income Statement'!C24-1</f>
        <v/>
      </c>
      <c r="E26" s="15">
        <f>'Income Statement'!E24/'Income Statement'!D24-1</f>
        <v/>
      </c>
      <c r="F26" s="15">
        <f>'Income Statement'!F24/'Income Statement'!E24-1</f>
        <v/>
      </c>
      <c r="G26" s="15">
        <f>'Income Statement'!G24/'Income Statement'!F24-1</f>
        <v/>
      </c>
      <c r="H26" s="15">
        <f>'Income Statement'!H24/'Income Statement'!G24-1</f>
        <v/>
      </c>
      <c r="I26" s="15">
        <f>'Income Statement'!I24/'Income Statement'!H24-1</f>
        <v/>
      </c>
    </row>
    <row r="28">
      <c r="A28" s="18" t="inlineStr">
        <is>
          <t>MARGINS</t>
        </is>
      </c>
      <c r="B28" s="19">
        <f>Assumptions!B5</f>
        <v/>
      </c>
      <c r="C28" s="19">
        <f>Assumptions!C5</f>
        <v/>
      </c>
      <c r="D28" s="19">
        <f>Assumptions!D5</f>
        <v/>
      </c>
      <c r="E28" s="19">
        <f>Assumptions!E5</f>
        <v/>
      </c>
      <c r="F28" s="19">
        <f>Assumptions!F5</f>
        <v/>
      </c>
      <c r="G28" s="19">
        <f>Assumptions!G5</f>
        <v/>
      </c>
      <c r="H28" s="19">
        <f>Assumptions!H5</f>
        <v/>
      </c>
      <c r="I28" s="19">
        <f>Assumptions!I5</f>
        <v/>
      </c>
    </row>
    <row r="29">
      <c r="A29" s="5" t="inlineStr">
        <is>
          <t>EBITDA Margin (%)</t>
        </is>
      </c>
      <c r="B29" s="15">
        <f>'Income Statement'!B16/'Income Statement'!B7</f>
        <v/>
      </c>
      <c r="C29" s="15">
        <f>'Income Statement'!C16/'Income Statement'!C7</f>
        <v/>
      </c>
      <c r="D29" s="15">
        <f>'Income Statement'!D16/'Income Statement'!D7</f>
        <v/>
      </c>
      <c r="E29" s="15">
        <f>'Income Statement'!E16/'Income Statement'!E7</f>
        <v/>
      </c>
      <c r="F29" s="15">
        <f>'Income Statement'!F16/'Income Statement'!F7</f>
        <v/>
      </c>
      <c r="G29" s="15">
        <f>'Income Statement'!G16/'Income Statement'!G7</f>
        <v/>
      </c>
      <c r="H29" s="15">
        <f>'Income Statement'!H16/'Income Statement'!H7</f>
        <v/>
      </c>
      <c r="I29" s="15">
        <f>'Income Statement'!I16/'Income Statement'!I7</f>
        <v/>
      </c>
    </row>
    <row r="30">
      <c r="A30" s="5" t="inlineStr">
        <is>
          <t>EBIT Margin (%)</t>
        </is>
      </c>
      <c r="B30" s="15">
        <f>'Income Statement'!B18/'Income Statement'!B7</f>
        <v/>
      </c>
      <c r="C30" s="15">
        <f>'Income Statement'!C18/'Income Statement'!C7</f>
        <v/>
      </c>
      <c r="D30" s="15">
        <f>'Income Statement'!D18/'Income Statement'!D7</f>
        <v/>
      </c>
      <c r="E30" s="15">
        <f>'Income Statement'!E18/'Income Statement'!E7</f>
        <v/>
      </c>
      <c r="F30" s="15">
        <f>'Income Statement'!F18/'Income Statement'!F7</f>
        <v/>
      </c>
      <c r="G30" s="15">
        <f>'Income Statement'!G18/'Income Statement'!G7</f>
        <v/>
      </c>
      <c r="H30" s="15">
        <f>'Income Statement'!H18/'Income Statement'!H7</f>
        <v/>
      </c>
      <c r="I30" s="15">
        <f>'Income Statement'!I18/'Income Statement'!I7</f>
        <v/>
      </c>
    </row>
    <row r="31">
      <c r="A31" s="5" t="inlineStr">
        <is>
          <t>Pre-Tax Margin (%)</t>
        </is>
      </c>
      <c r="B31" s="15">
        <f>'Income Statement'!B21/'Income Statement'!B7</f>
        <v/>
      </c>
      <c r="C31" s="15">
        <f>'Income Statement'!C21/'Income Statement'!C7</f>
        <v/>
      </c>
      <c r="D31" s="15">
        <f>'Income Statement'!D21/'Income Statement'!D7</f>
        <v/>
      </c>
      <c r="E31" s="15">
        <f>'Income Statement'!E21/'Income Statement'!E7</f>
        <v/>
      </c>
      <c r="F31" s="15">
        <f>'Income Statement'!F21/'Income Statement'!F7</f>
        <v/>
      </c>
      <c r="G31" s="15">
        <f>'Income Statement'!G21/'Income Statement'!G7</f>
        <v/>
      </c>
      <c r="H31" s="15">
        <f>'Income Statement'!H21/'Income Statement'!H7</f>
        <v/>
      </c>
      <c r="I31" s="15">
        <f>'Income Statement'!I21/'Income Statement'!I7</f>
        <v/>
      </c>
    </row>
    <row r="32">
      <c r="A32" s="5" t="inlineStr">
        <is>
          <t>PAT Margin (%)</t>
        </is>
      </c>
      <c r="B32" s="15">
        <f>'Income Statement'!B24/'Income Statement'!B7</f>
        <v/>
      </c>
      <c r="C32" s="15">
        <f>'Income Statement'!C24/'Income Statement'!C7</f>
        <v/>
      </c>
      <c r="D32" s="15">
        <f>'Income Statement'!D24/'Income Statement'!D7</f>
        <v/>
      </c>
      <c r="E32" s="15">
        <f>'Income Statement'!E24/'Income Statement'!E7</f>
        <v/>
      </c>
      <c r="F32" s="15">
        <f>'Income Statement'!F24/'Income Statement'!F7</f>
        <v/>
      </c>
      <c r="G32" s="15">
        <f>'Income Statement'!G24/'Income Statement'!G7</f>
        <v/>
      </c>
      <c r="H32" s="15">
        <f>'Income Statement'!H24/'Income Statement'!H7</f>
        <v/>
      </c>
      <c r="I32" s="15">
        <f>'Income Statement'!I24/'Income Statement'!I7</f>
        <v/>
      </c>
    </row>
    <row r="34">
      <c r="A34" s="18" t="inlineStr">
        <is>
          <t>EXPENDITURE RATIOS</t>
        </is>
      </c>
      <c r="B34" s="19">
        <f>Assumptions!B5</f>
        <v/>
      </c>
      <c r="C34" s="19">
        <f>Assumptions!C5</f>
        <v/>
      </c>
      <c r="D34" s="19">
        <f>Assumptions!D5</f>
        <v/>
      </c>
      <c r="E34" s="19">
        <f>Assumptions!E5</f>
        <v/>
      </c>
      <c r="F34" s="19">
        <f>Assumptions!F5</f>
        <v/>
      </c>
      <c r="G34" s="19">
        <f>Assumptions!G5</f>
        <v/>
      </c>
      <c r="H34" s="19">
        <f>Assumptions!H5</f>
        <v/>
      </c>
      <c r="I34" s="19">
        <f>Assumptions!I5</f>
        <v/>
      </c>
    </row>
    <row r="35">
      <c r="A35" s="5" t="inlineStr">
        <is>
          <t>Employee Expenses as % of Revenue</t>
        </is>
      </c>
      <c r="B35" s="15">
        <f>'Income Statement'!B8/'Income Statement'!B7</f>
        <v/>
      </c>
      <c r="C35" s="15">
        <f>'Income Statement'!C8/'Income Statement'!C7</f>
        <v/>
      </c>
      <c r="D35" s="15">
        <f>'Income Statement'!D8/'Income Statement'!D7</f>
        <v/>
      </c>
      <c r="E35" s="15">
        <f>'Income Statement'!E8/'Income Statement'!E7</f>
        <v/>
      </c>
      <c r="F35" s="15">
        <f>'Income Statement'!F8/'Income Statement'!F7</f>
        <v/>
      </c>
      <c r="G35" s="15">
        <f>'Income Statement'!G8/'Income Statement'!G7</f>
        <v/>
      </c>
      <c r="H35" s="15">
        <f>'Income Statement'!H8/'Income Statement'!H7</f>
        <v/>
      </c>
      <c r="I35" s="15">
        <f>'Income Statement'!I8/'Income Statement'!I7</f>
        <v/>
      </c>
    </row>
    <row r="36">
      <c r="A36" s="5" t="inlineStr">
        <is>
          <t>Sub-contractor Expenses as % of Revenue</t>
        </is>
      </c>
      <c r="B36" s="15">
        <f>'Income Statement'!B9/'Income Statement'!B7</f>
        <v/>
      </c>
      <c r="C36" s="15">
        <f>'Income Statement'!C9/'Income Statement'!C7</f>
        <v/>
      </c>
      <c r="D36" s="15">
        <f>'Income Statement'!D9/'Income Statement'!D7</f>
        <v/>
      </c>
      <c r="E36" s="15">
        <f>'Income Statement'!E9/'Income Statement'!E7</f>
        <v/>
      </c>
      <c r="F36" s="15">
        <f>'Income Statement'!F9/'Income Statement'!F7</f>
        <v/>
      </c>
      <c r="G36" s="15">
        <f>'Income Statement'!G9/'Income Statement'!G7</f>
        <v/>
      </c>
      <c r="H36" s="15">
        <f>'Income Statement'!H9/'Income Statement'!H7</f>
        <v/>
      </c>
      <c r="I36" s="15">
        <f>'Income Statement'!I9/'Income Statement'!I7</f>
        <v/>
      </c>
    </row>
    <row r="37">
      <c r="A37" s="5" t="inlineStr">
        <is>
          <t>Software Packages and Others as % of Revenue</t>
        </is>
      </c>
      <c r="B37" s="15">
        <f>'Income Statement'!B11/'Income Statement'!B7</f>
        <v/>
      </c>
      <c r="C37" s="15">
        <f>'Income Statement'!C11/'Income Statement'!C7</f>
        <v/>
      </c>
      <c r="D37" s="15">
        <f>'Income Statement'!D11/'Income Statement'!D7</f>
        <v/>
      </c>
      <c r="E37" s="15">
        <f>'Income Statement'!E11/'Income Statement'!E7</f>
        <v/>
      </c>
      <c r="F37" s="15">
        <f>'Income Statement'!F11/'Income Statement'!F7</f>
        <v/>
      </c>
      <c r="G37" s="15">
        <f>'Income Statement'!G11/'Income Statement'!G7</f>
        <v/>
      </c>
      <c r="H37" s="15">
        <f>'Income Statement'!H11/'Income Statement'!H7</f>
        <v/>
      </c>
      <c r="I37" s="15">
        <f>'Income Statement'!I11/'Income Statement'!I7</f>
        <v/>
      </c>
    </row>
    <row r="39">
      <c r="A39" s="18" t="inlineStr">
        <is>
          <t>RETURNS</t>
        </is>
      </c>
      <c r="B39" s="19">
        <f>Assumptions!B5</f>
        <v/>
      </c>
      <c r="C39" s="19">
        <f>Assumptions!C5</f>
        <v/>
      </c>
      <c r="D39" s="19">
        <f>Assumptions!D5</f>
        <v/>
      </c>
      <c r="E39" s="19">
        <f>Assumptions!E5</f>
        <v/>
      </c>
      <c r="F39" s="19">
        <f>Assumptions!F5</f>
        <v/>
      </c>
      <c r="G39" s="19">
        <f>Assumptions!G5</f>
        <v/>
      </c>
      <c r="H39" s="19">
        <f>Assumptions!H5</f>
        <v/>
      </c>
      <c r="I39" s="19">
        <f>Assumptions!I5</f>
        <v/>
      </c>
    </row>
    <row r="40">
      <c r="A40" s="5" t="inlineStr">
        <is>
          <t>Return on Capital Employed (%) = EBIT / (Total assets - Current liabilities)</t>
        </is>
      </c>
      <c r="B40" s="15">
        <f>'Income Statement'!B18/('Balance Sheet'!B30-'Balance Sheet'!B39)</f>
        <v/>
      </c>
      <c r="C40" s="15">
        <f>'Income Statement'!C18/('Balance Sheet'!C30-'Balance Sheet'!C39)</f>
        <v/>
      </c>
      <c r="D40" s="15">
        <f>'Income Statement'!D18/('Balance Sheet'!D30-'Balance Sheet'!D39)</f>
        <v/>
      </c>
      <c r="E40" s="15">
        <f>'Income Statement'!E18/('Balance Sheet'!E30-'Balance Sheet'!E39)</f>
        <v/>
      </c>
      <c r="F40" s="15">
        <f>'Income Statement'!F18/('Balance Sheet'!F30-'Balance Sheet'!F39)</f>
        <v/>
      </c>
      <c r="G40" s="15">
        <f>'Income Statement'!G18/('Balance Sheet'!G30-'Balance Sheet'!G39)</f>
        <v/>
      </c>
      <c r="H40" s="15">
        <f>'Income Statement'!H18/('Balance Sheet'!H30-'Balance Sheet'!H39)</f>
        <v/>
      </c>
      <c r="I40" s="15">
        <f>'Income Statement'!I18/('Balance Sheet'!I30-'Balance Sheet'!I39)</f>
        <v/>
      </c>
    </row>
    <row r="41">
      <c r="A41" s="5" t="inlineStr">
        <is>
          <t>Return on Assets (%) = PAT / Total assets</t>
        </is>
      </c>
      <c r="B41" s="15">
        <f>'Income Statement'!B24/'Balance Sheet'!B30</f>
        <v/>
      </c>
      <c r="C41" s="15">
        <f>'Income Statement'!C24/'Balance Sheet'!C30</f>
        <v/>
      </c>
      <c r="D41" s="15">
        <f>'Income Statement'!D24/'Balance Sheet'!D30</f>
        <v/>
      </c>
      <c r="E41" s="15">
        <f>'Income Statement'!E24/'Balance Sheet'!E30</f>
        <v/>
      </c>
      <c r="F41" s="15">
        <f>'Income Statement'!F24/'Balance Sheet'!F30</f>
        <v/>
      </c>
      <c r="G41" s="15">
        <f>'Income Statement'!G24/'Balance Sheet'!G30</f>
        <v/>
      </c>
      <c r="H41" s="15">
        <f>'Income Statement'!H24/'Balance Sheet'!H30</f>
        <v/>
      </c>
      <c r="I41" s="15">
        <f>'Income Statement'!I24/'Balance Sheet'!I30</f>
        <v/>
      </c>
    </row>
    <row r="42">
      <c r="A42" s="5" t="inlineStr">
        <is>
          <t>Return On Equity (%) = PAT / Total equity</t>
        </is>
      </c>
      <c r="B42" s="15">
        <f>'Income Statement'!B24/'Balance Sheet'!B53</f>
        <v/>
      </c>
      <c r="C42" s="15">
        <f>'Income Statement'!C24/'Balance Sheet'!C53</f>
        <v/>
      </c>
      <c r="D42" s="15">
        <f>'Income Statement'!D24/'Balance Sheet'!D53</f>
        <v/>
      </c>
      <c r="E42" s="15">
        <f>'Income Statement'!E24/'Balance Sheet'!E53</f>
        <v/>
      </c>
      <c r="F42" s="15">
        <f>'Income Statement'!F24/'Balance Sheet'!F53</f>
        <v/>
      </c>
      <c r="G42" s="15">
        <f>'Income Statement'!G24/'Balance Sheet'!G53</f>
        <v/>
      </c>
      <c r="H42" s="15">
        <f>'Income Statement'!H24/'Balance Sheet'!H53</f>
        <v/>
      </c>
      <c r="I42" s="15">
        <f>'Income Statement'!I24/'Balance Sheet'!I53</f>
        <v/>
      </c>
    </row>
    <row r="44">
      <c r="A44" s="18" t="inlineStr">
        <is>
          <t>DuPONT ANALYSIS</t>
        </is>
      </c>
      <c r="B44" s="19">
        <f>Assumptions!B5</f>
        <v/>
      </c>
      <c r="C44" s="19">
        <f>Assumptions!C5</f>
        <v/>
      </c>
      <c r="D44" s="19">
        <f>Assumptions!D5</f>
        <v/>
      </c>
      <c r="E44" s="19">
        <f>Assumptions!E5</f>
        <v/>
      </c>
      <c r="F44" s="19">
        <f>Assumptions!F5</f>
        <v/>
      </c>
      <c r="G44" s="19">
        <f>Assumptions!G5</f>
        <v/>
      </c>
      <c r="H44" s="19">
        <f>Assumptions!H5</f>
        <v/>
      </c>
      <c r="I44" s="19">
        <f>Assumptions!I5</f>
        <v/>
      </c>
    </row>
    <row r="45">
      <c r="A45" s="5" t="inlineStr">
        <is>
          <t>PAT Margin (%)</t>
        </is>
      </c>
      <c r="B45" s="15">
        <f>'Income Statement'!B24/'Income Statement'!B7</f>
        <v/>
      </c>
      <c r="C45" s="15">
        <f>'Income Statement'!C24/'Income Statement'!C7</f>
        <v/>
      </c>
      <c r="D45" s="15">
        <f>'Income Statement'!D24/'Income Statement'!D7</f>
        <v/>
      </c>
      <c r="E45" s="15">
        <f>'Income Statement'!E24/'Income Statement'!E7</f>
        <v/>
      </c>
      <c r="F45" s="15">
        <f>'Income Statement'!F24/'Income Statement'!F7</f>
        <v/>
      </c>
      <c r="G45" s="15">
        <f>'Income Statement'!G24/'Income Statement'!G7</f>
        <v/>
      </c>
      <c r="H45" s="15">
        <f>'Income Statement'!H24/'Income Statement'!H7</f>
        <v/>
      </c>
      <c r="I45" s="15">
        <f>'Income Statement'!I24/'Income Statement'!I7</f>
        <v/>
      </c>
    </row>
    <row r="46">
      <c r="A46" s="5" t="inlineStr">
        <is>
          <t>Asset Turnover (x)</t>
        </is>
      </c>
      <c r="B46" s="9">
        <f>'Income Statement'!B7/'Balance Sheet'!B30</f>
        <v/>
      </c>
      <c r="C46" s="9">
        <f>'Income Statement'!C7/'Balance Sheet'!C30</f>
        <v/>
      </c>
      <c r="D46" s="9">
        <f>'Income Statement'!D7/'Balance Sheet'!D30</f>
        <v/>
      </c>
      <c r="E46" s="9">
        <f>'Income Statement'!E7/'Balance Sheet'!E30</f>
        <v/>
      </c>
      <c r="F46" s="9">
        <f>'Income Statement'!F7/'Balance Sheet'!F30</f>
        <v/>
      </c>
      <c r="G46" s="9">
        <f>'Income Statement'!G7/'Balance Sheet'!G30</f>
        <v/>
      </c>
      <c r="H46" s="9">
        <f>'Income Statement'!H7/'Balance Sheet'!H30</f>
        <v/>
      </c>
      <c r="I46" s="9">
        <f>'Income Statement'!I7/'Balance Sheet'!I30</f>
        <v/>
      </c>
    </row>
    <row r="47">
      <c r="A47" s="5" t="inlineStr">
        <is>
          <t>Financial Leverage (Total assets / Equity)</t>
        </is>
      </c>
      <c r="B47" s="9">
        <f>'Balance Sheet'!B30/'Balance Sheet'!B53</f>
        <v/>
      </c>
      <c r="C47" s="9">
        <f>'Balance Sheet'!C30/'Balance Sheet'!C53</f>
        <v/>
      </c>
      <c r="D47" s="9">
        <f>'Balance Sheet'!D30/'Balance Sheet'!D53</f>
        <v/>
      </c>
      <c r="E47" s="9">
        <f>'Balance Sheet'!E30/'Balance Sheet'!E53</f>
        <v/>
      </c>
      <c r="F47" s="9">
        <f>'Balance Sheet'!F30/'Balance Sheet'!F53</f>
        <v/>
      </c>
      <c r="G47" s="9">
        <f>'Balance Sheet'!G30/'Balance Sheet'!G53</f>
        <v/>
      </c>
      <c r="H47" s="9">
        <f>'Balance Sheet'!H30/'Balance Sheet'!H53</f>
        <v/>
      </c>
      <c r="I47" s="9">
        <f>'Balance Sheet'!I30/'Balance Sheet'!I53</f>
        <v/>
      </c>
    </row>
    <row r="48">
      <c r="A48" s="5" t="inlineStr">
        <is>
          <t>Return On Equity (%)</t>
        </is>
      </c>
      <c r="B48" s="15">
        <f>'Income Statement'!B24/'Balance Sheet'!B53</f>
        <v/>
      </c>
      <c r="C48" s="15">
        <f>'Income Statement'!C24/'Balance Sheet'!C53</f>
        <v/>
      </c>
      <c r="D48" s="15">
        <f>'Income Statement'!D24/'Balance Sheet'!D53</f>
        <v/>
      </c>
      <c r="E48" s="15">
        <f>'Income Statement'!E24/'Balance Sheet'!E53</f>
        <v/>
      </c>
      <c r="F48" s="15">
        <f>'Income Statement'!F24/'Balance Sheet'!F53</f>
        <v/>
      </c>
      <c r="G48" s="15">
        <f>'Income Statement'!G24/'Balance Sheet'!G53</f>
        <v/>
      </c>
      <c r="H48" s="15">
        <f>'Income Statement'!H24/'Balance Sheet'!H53</f>
        <v/>
      </c>
      <c r="I48" s="15">
        <f>'Income Statement'!I24/'Balance Sheet'!I53</f>
        <v/>
      </c>
    </row>
    <row r="50">
      <c r="A50" s="18" t="inlineStr">
        <is>
          <t>LIQUIDITY</t>
        </is>
      </c>
      <c r="B50" s="19">
        <f>Assumptions!B5</f>
        <v/>
      </c>
      <c r="C50" s="19">
        <f>Assumptions!C5</f>
        <v/>
      </c>
      <c r="D50" s="19">
        <f>Assumptions!D5</f>
        <v/>
      </c>
      <c r="E50" s="19">
        <f>Assumptions!E5</f>
        <v/>
      </c>
      <c r="F50" s="19">
        <f>Assumptions!F5</f>
        <v/>
      </c>
      <c r="G50" s="19">
        <f>Assumptions!G5</f>
        <v/>
      </c>
      <c r="H50" s="19">
        <f>Assumptions!H5</f>
        <v/>
      </c>
      <c r="I50" s="19">
        <f>Assumptions!I5</f>
        <v/>
      </c>
    </row>
    <row r="51">
      <c r="A51" s="5" t="inlineStr">
        <is>
          <t>Receivable Days</t>
        </is>
      </c>
      <c r="B51" s="24">
        <f>365/('Income Statement'!B7/'Balance Sheet'!B10)</f>
        <v/>
      </c>
      <c r="C51" s="24">
        <f>365/('Income Statement'!C7/'Balance Sheet'!C10)</f>
        <v/>
      </c>
      <c r="D51" s="24">
        <f>365/('Income Statement'!D7/'Balance Sheet'!D10)</f>
        <v/>
      </c>
      <c r="E51" s="24">
        <f>365/('Income Statement'!E7/'Balance Sheet'!E10)</f>
        <v/>
      </c>
      <c r="F51" s="24">
        <f>365/('Income Statement'!F7/'Balance Sheet'!F10)</f>
        <v/>
      </c>
      <c r="G51" s="24">
        <f>365/('Income Statement'!G7/'Balance Sheet'!G10)</f>
        <v/>
      </c>
      <c r="H51" s="24">
        <f>365/('Income Statement'!H7/'Balance Sheet'!H10)</f>
        <v/>
      </c>
      <c r="I51" s="24">
        <f>365/('Income Statement'!I7/'Balance Sheet'!I10)</f>
        <v/>
      </c>
    </row>
    <row r="52">
      <c r="A52" s="5" t="inlineStr">
        <is>
          <t>Payable Days (on revenue)</t>
        </is>
      </c>
      <c r="B52" s="24">
        <f>365/('Income Statement'!B7/'Balance Sheet'!B33)</f>
        <v/>
      </c>
      <c r="C52" s="24">
        <f>365/('Income Statement'!C7/'Balance Sheet'!C33)</f>
        <v/>
      </c>
      <c r="D52" s="24">
        <f>365/('Income Statement'!D7/'Balance Sheet'!D33)</f>
        <v/>
      </c>
      <c r="E52" s="24">
        <f>365/('Income Statement'!E7/'Balance Sheet'!E33)</f>
        <v/>
      </c>
      <c r="F52" s="24">
        <f>365/('Income Statement'!F7/'Balance Sheet'!F33)</f>
        <v/>
      </c>
      <c r="G52" s="24">
        <f>365/('Income Statement'!G7/'Balance Sheet'!G33)</f>
        <v/>
      </c>
      <c r="H52" s="24">
        <f>365/('Income Statement'!H7/'Balance Sheet'!H33)</f>
        <v/>
      </c>
      <c r="I52" s="24">
        <f>365/('Income Statement'!I7/'Balance Sheet'!I33)</f>
        <v/>
      </c>
    </row>
    <row r="53">
      <c r="A53" s="5" t="inlineStr">
        <is>
          <t>Current Ratio (x)</t>
        </is>
      </c>
      <c r="B53" s="9">
        <f>'Balance Sheet'!B15/'Balance Sheet'!B39</f>
        <v/>
      </c>
      <c r="C53" s="9">
        <f>'Balance Sheet'!C15/'Balance Sheet'!C39</f>
        <v/>
      </c>
      <c r="D53" s="9">
        <f>'Balance Sheet'!D15/'Balance Sheet'!D39</f>
        <v/>
      </c>
      <c r="E53" s="9">
        <f>'Balance Sheet'!E15/'Balance Sheet'!E39</f>
        <v/>
      </c>
      <c r="F53" s="9">
        <f>'Balance Sheet'!F15/'Balance Sheet'!F39</f>
        <v/>
      </c>
      <c r="G53" s="9">
        <f>'Balance Sheet'!G15/'Balance Sheet'!G39</f>
        <v/>
      </c>
      <c r="H53" s="9">
        <f>'Balance Sheet'!H15/'Balance Sheet'!H39</f>
        <v/>
      </c>
      <c r="I53" s="9">
        <f>'Balance Sheet'!I15/'Balance Sheet'!I39</f>
        <v/>
      </c>
    </row>
    <row r="55">
      <c r="A55" s="18" t="inlineStr">
        <is>
          <t>SOLVENCY RATIOS</t>
        </is>
      </c>
      <c r="B55" s="19">
        <f>Assumptions!B5</f>
        <v/>
      </c>
      <c r="C55" s="19">
        <f>Assumptions!C5</f>
        <v/>
      </c>
      <c r="D55" s="19">
        <f>Assumptions!D5</f>
        <v/>
      </c>
      <c r="E55" s="19">
        <f>Assumptions!E5</f>
        <v/>
      </c>
      <c r="F55" s="19">
        <f>Assumptions!F5</f>
        <v/>
      </c>
      <c r="G55" s="19">
        <f>Assumptions!G5</f>
        <v/>
      </c>
      <c r="H55" s="19">
        <f>Assumptions!H5</f>
        <v/>
      </c>
      <c r="I55" s="19">
        <f>Assumptions!I5</f>
        <v/>
      </c>
    </row>
    <row r="56">
      <c r="A56" s="5" t="inlineStr">
        <is>
          <t>Interest Coverage Ratio (EBITDA / finance cost)</t>
        </is>
      </c>
      <c r="B56" s="25">
        <f>'Income Statement'!B16/'Income Statement'!B20</f>
        <v/>
      </c>
      <c r="C56" s="25">
        <f>'Income Statement'!C16/'Income Statement'!C20</f>
        <v/>
      </c>
      <c r="D56" s="25">
        <f>'Income Statement'!D16/'Income Statement'!D20</f>
        <v/>
      </c>
      <c r="E56" s="25">
        <f>'Income Statement'!E16/'Income Statement'!E20</f>
        <v/>
      </c>
      <c r="F56" s="25">
        <f>'Income Statement'!F16/'Income Statement'!F20</f>
        <v/>
      </c>
      <c r="G56" s="25">
        <f>'Income Statement'!G16/'Income Statement'!G20</f>
        <v/>
      </c>
      <c r="H56" s="25">
        <f>'Income Statement'!H16/'Income Statement'!H20</f>
        <v/>
      </c>
      <c r="I56" s="25">
        <f>'Income Statement'!I16/'Income Statement'!I20</f>
        <v/>
      </c>
    </row>
    <row r="57">
      <c r="A57" s="5" t="inlineStr">
        <is>
          <t>Net Debt / Equity (negative = net cash)</t>
        </is>
      </c>
      <c r="B57" s="9">
        <f>('Balance Sheet'!B34+'Balance Sheet'!B41-'Balance Sheet'!B8-'Balance Sheet'!B9-'Balance Sheet'!B22)/'Balance Sheet'!B53</f>
        <v/>
      </c>
      <c r="C57" s="9">
        <f>('Balance Sheet'!C34+'Balance Sheet'!C41-'Balance Sheet'!C8-'Balance Sheet'!C9-'Balance Sheet'!C22)/'Balance Sheet'!C53</f>
        <v/>
      </c>
      <c r="D57" s="9">
        <f>('Balance Sheet'!D34+'Balance Sheet'!D41-'Balance Sheet'!D8-'Balance Sheet'!D9-'Balance Sheet'!D22)/'Balance Sheet'!D53</f>
        <v/>
      </c>
      <c r="E57" s="9">
        <f>('Balance Sheet'!E34+'Balance Sheet'!E41-'Balance Sheet'!E8-'Balance Sheet'!E9-'Balance Sheet'!E22)/'Balance Sheet'!E53</f>
        <v/>
      </c>
      <c r="F57" s="9">
        <f>('Balance Sheet'!F34+'Balance Sheet'!F41-'Balance Sheet'!F8-'Balance Sheet'!F9-'Balance Sheet'!F22)/'Balance Sheet'!F53</f>
        <v/>
      </c>
      <c r="G57" s="9">
        <f>('Balance Sheet'!G34+'Balance Sheet'!G41-'Balance Sheet'!G8-'Balance Sheet'!G9-'Balance Sheet'!G22)/'Balance Sheet'!G53</f>
        <v/>
      </c>
      <c r="H57" s="9">
        <f>('Balance Sheet'!H34+'Balance Sheet'!H41-'Balance Sheet'!H8-'Balance Sheet'!H9-'Balance Sheet'!H22)/'Balance Sheet'!H53</f>
        <v/>
      </c>
      <c r="I57" s="9">
        <f>('Balance Sheet'!I34+'Balance Sheet'!I41-'Balance Sheet'!I8-'Balance Sheet'!I9-'Balance Sheet'!I22)/'Balance Sheet'!I53</f>
        <v/>
      </c>
    </row>
    <row r="59">
      <c r="A59" s="18" t="inlineStr">
        <is>
          <t>TURNOVER RATIOS</t>
        </is>
      </c>
      <c r="B59" s="19">
        <f>Assumptions!B5</f>
        <v/>
      </c>
      <c r="C59" s="19">
        <f>Assumptions!C5</f>
        <v/>
      </c>
      <c r="D59" s="19">
        <f>Assumptions!D5</f>
        <v/>
      </c>
      <c r="E59" s="19">
        <f>Assumptions!E5</f>
        <v/>
      </c>
      <c r="F59" s="19">
        <f>Assumptions!F5</f>
        <v/>
      </c>
      <c r="G59" s="19">
        <f>Assumptions!G5</f>
        <v/>
      </c>
      <c r="H59" s="19">
        <f>Assumptions!H5</f>
        <v/>
      </c>
      <c r="I59" s="19">
        <f>Assumptions!I5</f>
        <v/>
      </c>
    </row>
    <row r="60">
      <c r="A60" s="5" t="inlineStr">
        <is>
          <t>Working Capital Turnover Ratio (x)</t>
        </is>
      </c>
      <c r="B60" s="9">
        <f>'Income Statement'!B7/('Balance Sheet'!B15-'Balance Sheet'!B39)</f>
        <v/>
      </c>
      <c r="C60" s="9">
        <f>'Income Statement'!C7/('Balance Sheet'!C15-'Balance Sheet'!C39)</f>
        <v/>
      </c>
      <c r="D60" s="9">
        <f>'Income Statement'!D7/('Balance Sheet'!D15-'Balance Sheet'!D39)</f>
        <v/>
      </c>
      <c r="E60" s="9">
        <f>'Income Statement'!E7/('Balance Sheet'!E15-'Balance Sheet'!E39)</f>
        <v/>
      </c>
      <c r="F60" s="9">
        <f>'Income Statement'!F7/('Balance Sheet'!F15-'Balance Sheet'!F39)</f>
        <v/>
      </c>
      <c r="G60" s="9">
        <f>'Income Statement'!G7/('Balance Sheet'!G15-'Balance Sheet'!G39)</f>
        <v/>
      </c>
      <c r="H60" s="9">
        <f>'Income Statement'!H7/('Balance Sheet'!H15-'Balance Sheet'!H39)</f>
        <v/>
      </c>
      <c r="I60" s="9">
        <f>'Income Statement'!I7/('Balance Sheet'!I15-'Balance Sheet'!I39)</f>
        <v/>
      </c>
    </row>
    <row r="61">
      <c r="A61" s="5" t="inlineStr">
        <is>
          <t>Fixed Asset Turnover (x)</t>
        </is>
      </c>
      <c r="B61" s="9">
        <f>'Income Statement'!B7/('Balance Sheet'!B17+'Balance Sheet'!B18+'Balance Sheet'!B21)</f>
        <v/>
      </c>
      <c r="C61" s="9">
        <f>'Income Statement'!C7/('Balance Sheet'!C17+'Balance Sheet'!C18+'Balance Sheet'!C21)</f>
        <v/>
      </c>
      <c r="D61" s="9">
        <f>'Income Statement'!D7/('Balance Sheet'!D17+'Balance Sheet'!D18+'Balance Sheet'!D21)</f>
        <v/>
      </c>
      <c r="E61" s="9">
        <f>'Income Statement'!E7/('Balance Sheet'!E17+'Balance Sheet'!E18+'Balance Sheet'!E21)</f>
        <v/>
      </c>
      <c r="F61" s="9">
        <f>'Income Statement'!F7/('Balance Sheet'!F17+'Balance Sheet'!F18+'Balance Sheet'!F21)</f>
        <v/>
      </c>
      <c r="G61" s="9">
        <f>'Income Statement'!G7/('Balance Sheet'!G17+'Balance Sheet'!G18+'Balance Sheet'!G21)</f>
        <v/>
      </c>
      <c r="H61" s="9">
        <f>'Income Statement'!H7/('Balance Sheet'!H17+'Balance Sheet'!H18+'Balance Sheet'!H21)</f>
        <v/>
      </c>
      <c r="I61" s="9">
        <f>'Income Statement'!I7/('Balance Sheet'!I17+'Balance Sheet'!I18+'Balance Sheet'!I21)</f>
        <v/>
      </c>
    </row>
  </sheetData>
  <pageMargins left="0.75" right="0.75" top="1" bottom="1" header="0.5" footer="0.5"/>
</worksheet>
</file>

<file path=xl/worksheets/sheet3.xml><?xml version="1.0" encoding="utf-8"?>
<worksheet xmlns="http://schemas.openxmlformats.org/spreadsheetml/2006/main">
  <sheetPr>
    <tabColor rgb="00FFC000"/>
    <outlinePr summaryBelow="1" summaryRight="1"/>
    <pageSetUpPr/>
  </sheetPr>
  <dimension ref="A1:K6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 width="12.5" customWidth="1" min="15" max="15"/>
    <col width="12.5" customWidth="1" min="16" max="16"/>
  </cols>
  <sheetData>
    <row r="1">
      <c r="A1" s="1" t="inlineStr">
        <is>
          <t>Infosys Limited</t>
        </is>
      </c>
    </row>
    <row r="2">
      <c r="A2" s="2" t="inlineStr">
        <is>
          <t>Assumptions</t>
        </is>
      </c>
    </row>
    <row r="3">
      <c r="A3" s="3" t="inlineStr">
        <is>
          <t>(In INR Crores, unless otherwise stated)  |  Blue = reported / hard-coded input, Black = formula, yellow cells = forecast</t>
        </is>
      </c>
    </row>
    <row r="5">
      <c r="A5" s="18" t="inlineStr">
        <is>
          <t>Particular</t>
        </is>
      </c>
      <c r="B5" s="19" t="inlineStr">
        <is>
          <t>FY2023 A</t>
        </is>
      </c>
      <c r="C5" s="19" t="inlineStr">
        <is>
          <t>FY2024 A</t>
        </is>
      </c>
      <c r="D5" s="19" t="inlineStr">
        <is>
          <t>FY2025 A</t>
        </is>
      </c>
      <c r="E5" s="19" t="inlineStr">
        <is>
          <t>FY2026 E</t>
        </is>
      </c>
      <c r="F5" s="19" t="inlineStr">
        <is>
          <t>FY2027 E</t>
        </is>
      </c>
      <c r="G5" s="19" t="inlineStr">
        <is>
          <t>FY2028 E</t>
        </is>
      </c>
      <c r="H5" s="19" t="inlineStr">
        <is>
          <t>FY2029 E</t>
        </is>
      </c>
      <c r="I5" s="19" t="inlineStr">
        <is>
          <t>FY2030 E</t>
        </is>
      </c>
    </row>
    <row r="6">
      <c r="A6" s="26" t="inlineStr">
        <is>
          <t>Income Statement</t>
        </is>
      </c>
      <c r="B6" s="27" t="n"/>
      <c r="C6" s="27" t="n"/>
      <c r="D6" s="27" t="n"/>
      <c r="E6" s="27" t="n"/>
      <c r="F6" s="27" t="n"/>
      <c r="G6" s="27" t="n"/>
      <c r="H6" s="27" t="n"/>
      <c r="I6" s="27" t="n"/>
    </row>
    <row r="7">
      <c r="A7" s="5" t="inlineStr">
        <is>
          <t>Revenue Growth</t>
        </is>
      </c>
      <c r="C7" s="15">
        <f>'Income Statement'!C7/'Income Statement'!B7-1</f>
        <v/>
      </c>
      <c r="D7" s="15">
        <f>'Income Statement'!D7/'Income Statement'!C7-1</f>
        <v/>
      </c>
      <c r="E7" s="28" t="n">
        <v>0.045</v>
      </c>
      <c r="F7" s="28" t="n">
        <v>0.07000000000000001</v>
      </c>
      <c r="G7" s="28" t="n">
        <v>0.08</v>
      </c>
      <c r="H7" s="28" t="n">
        <v>0.08</v>
      </c>
      <c r="I7" s="28" t="n">
        <v>0.08</v>
      </c>
      <c r="K7" s="3" t="inlineStr">
        <is>
          <t>Input (INR). FY26E ~US$ growth 2% (mgmt guidance 0-3% cc) + ~2% INR depreciation; then 5-6% US$ growth + 1.5-2% INR.</t>
        </is>
      </c>
    </row>
    <row r="8">
      <c r="A8" s="5" t="inlineStr">
        <is>
          <t>Employee benefit expenses (% of revenue)</t>
        </is>
      </c>
      <c r="B8" s="15">
        <f>'Income Statement'!B8/'Income Statement'!B7</f>
        <v/>
      </c>
      <c r="C8" s="15">
        <f>'Income Statement'!C8/'Income Statement'!C7</f>
        <v/>
      </c>
      <c r="D8" s="15">
        <f>'Income Statement'!D8/'Income Statement'!D7</f>
        <v/>
      </c>
      <c r="E8" s="29">
        <f>AVERAGE(B8:D8)</f>
        <v/>
      </c>
      <c r="F8" s="29">
        <f>AVERAGE(C8:E8)</f>
        <v/>
      </c>
      <c r="G8" s="29">
        <f>AVERAGE(D8:F8)</f>
        <v/>
      </c>
      <c r="H8" s="29">
        <f>AVERAGE(E8:G8)</f>
        <v/>
      </c>
      <c r="I8" s="29">
        <f>AVERAGE(F8:H8)</f>
        <v/>
      </c>
      <c r="K8" s="3" t="inlineStr">
        <is>
          <t>Forecast = average of previous 3 years</t>
        </is>
      </c>
    </row>
    <row r="9">
      <c r="A9" s="5" t="inlineStr">
        <is>
          <t>Cost of technical sub-contractors (% of revenue)</t>
        </is>
      </c>
      <c r="B9" s="15">
        <f>'Income Statement'!B9/'Income Statement'!B7</f>
        <v/>
      </c>
      <c r="C9" s="15">
        <f>'Income Statement'!C9/'Income Statement'!C7</f>
        <v/>
      </c>
      <c r="D9" s="15">
        <f>'Income Statement'!D9/'Income Statement'!D7</f>
        <v/>
      </c>
      <c r="E9" s="29">
        <f>AVERAGE(B9:D9)</f>
        <v/>
      </c>
      <c r="F9" s="29">
        <f>AVERAGE(C9:E9)</f>
        <v/>
      </c>
      <c r="G9" s="29">
        <f>AVERAGE(D9:F9)</f>
        <v/>
      </c>
      <c r="H9" s="29">
        <f>AVERAGE(E9:G9)</f>
        <v/>
      </c>
      <c r="I9" s="29">
        <f>AVERAGE(F9:H9)</f>
        <v/>
      </c>
    </row>
    <row r="10">
      <c r="A10" s="5" t="inlineStr">
        <is>
          <t>Travel expenses (% of revenue)</t>
        </is>
      </c>
      <c r="B10" s="15">
        <f>'Income Statement'!B10/'Income Statement'!B7</f>
        <v/>
      </c>
      <c r="C10" s="15">
        <f>'Income Statement'!C10/'Income Statement'!C7</f>
        <v/>
      </c>
      <c r="D10" s="15">
        <f>'Income Statement'!D10/'Income Statement'!D7</f>
        <v/>
      </c>
      <c r="E10" s="29">
        <f>AVERAGE(B10:D10)</f>
        <v/>
      </c>
      <c r="F10" s="29">
        <f>AVERAGE(C10:E10)</f>
        <v/>
      </c>
      <c r="G10" s="29">
        <f>AVERAGE(D10:F10)</f>
        <v/>
      </c>
      <c r="H10" s="29">
        <f>AVERAGE(E10:G10)</f>
        <v/>
      </c>
      <c r="I10" s="29">
        <f>AVERAGE(F10:H10)</f>
        <v/>
      </c>
    </row>
    <row r="11">
      <c r="A11" s="5" t="inlineStr">
        <is>
          <t>Cost of software packages and others (% of revenue)</t>
        </is>
      </c>
      <c r="B11" s="15">
        <f>'Income Statement'!B11/'Income Statement'!B7</f>
        <v/>
      </c>
      <c r="C11" s="15">
        <f>'Income Statement'!C11/'Income Statement'!C7</f>
        <v/>
      </c>
      <c r="D11" s="15">
        <f>'Income Statement'!D11/'Income Statement'!D7</f>
        <v/>
      </c>
      <c r="E11" s="29">
        <f>AVERAGE(B11:D11)</f>
        <v/>
      </c>
      <c r="F11" s="29">
        <f>AVERAGE(C11:E11)</f>
        <v/>
      </c>
      <c r="G11" s="29">
        <f>AVERAGE(D11:F11)</f>
        <v/>
      </c>
      <c r="H11" s="29">
        <f>AVERAGE(E11:G11)</f>
        <v/>
      </c>
      <c r="I11" s="29">
        <f>AVERAGE(F11:H11)</f>
        <v/>
      </c>
    </row>
    <row r="12">
      <c r="A12" s="5" t="inlineStr">
        <is>
          <t>Communication expenses (% of revenue)</t>
        </is>
      </c>
      <c r="B12" s="15">
        <f>'Income Statement'!B12/'Income Statement'!B7</f>
        <v/>
      </c>
      <c r="C12" s="15">
        <f>'Income Statement'!C12/'Income Statement'!C7</f>
        <v/>
      </c>
      <c r="D12" s="15">
        <f>'Income Statement'!D12/'Income Statement'!D7</f>
        <v/>
      </c>
      <c r="E12" s="29">
        <f>AVERAGE(B12:D12)</f>
        <v/>
      </c>
      <c r="F12" s="29">
        <f>AVERAGE(C12:E12)</f>
        <v/>
      </c>
      <c r="G12" s="29">
        <f>AVERAGE(D12:F12)</f>
        <v/>
      </c>
      <c r="H12" s="29">
        <f>AVERAGE(E12:G12)</f>
        <v/>
      </c>
      <c r="I12" s="29">
        <f>AVERAGE(F12:H12)</f>
        <v/>
      </c>
    </row>
    <row r="13">
      <c r="A13" s="5" t="inlineStr">
        <is>
          <t>Consultancy and professional charges (% of revenue)</t>
        </is>
      </c>
      <c r="B13" s="15">
        <f>'Income Statement'!B13/'Income Statement'!B7</f>
        <v/>
      </c>
      <c r="C13" s="15">
        <f>'Income Statement'!C13/'Income Statement'!C7</f>
        <v/>
      </c>
      <c r="D13" s="15">
        <f>'Income Statement'!D13/'Income Statement'!D7</f>
        <v/>
      </c>
      <c r="E13" s="29">
        <f>AVERAGE(B13:D13)</f>
        <v/>
      </c>
      <c r="F13" s="29">
        <f>AVERAGE(C13:E13)</f>
        <v/>
      </c>
      <c r="G13" s="29">
        <f>AVERAGE(D13:F13)</f>
        <v/>
      </c>
      <c r="H13" s="29">
        <f>AVERAGE(E13:G13)</f>
        <v/>
      </c>
      <c r="I13" s="29">
        <f>AVERAGE(F13:H13)</f>
        <v/>
      </c>
    </row>
    <row r="14">
      <c r="A14" s="5" t="inlineStr">
        <is>
          <t>Other expenses (% of revenue)</t>
        </is>
      </c>
      <c r="B14" s="15">
        <f>'Income Statement'!B14/'Income Statement'!B7</f>
        <v/>
      </c>
      <c r="C14" s="15">
        <f>'Income Statement'!C14/'Income Statement'!C7</f>
        <v/>
      </c>
      <c r="D14" s="15">
        <f>'Income Statement'!D14/'Income Statement'!D7</f>
        <v/>
      </c>
      <c r="E14" s="29">
        <f>AVERAGE(B14:D14)</f>
        <v/>
      </c>
      <c r="F14" s="29">
        <f>AVERAGE(C14:E14)</f>
        <v/>
      </c>
      <c r="G14" s="29">
        <f>AVERAGE(D14:F14)</f>
        <v/>
      </c>
      <c r="H14" s="29">
        <f>AVERAGE(E14:G14)</f>
        <v/>
      </c>
      <c r="I14" s="29">
        <f>AVERAGE(F14:H14)</f>
        <v/>
      </c>
    </row>
    <row r="15">
      <c r="A15" s="5" t="inlineStr">
        <is>
          <t>Effective tax rate (tax / PBT)</t>
        </is>
      </c>
      <c r="B15" s="15">
        <f>('Income Statement'!B22+'Income Statement'!B23)/'Income Statement'!B21</f>
        <v/>
      </c>
      <c r="C15" s="15">
        <f>('Income Statement'!C22+'Income Statement'!C23)/'Income Statement'!C21</f>
        <v/>
      </c>
      <c r="D15" s="15">
        <f>('Income Statement'!D22+'Income Statement'!D23)/'Income Statement'!D21</f>
        <v/>
      </c>
      <c r="E15" s="29">
        <f>AVERAGE(B15:D15)</f>
        <v/>
      </c>
      <c r="F15" s="29">
        <f>AVERAGE(C15:E15)</f>
        <v/>
      </c>
      <c r="G15" s="29">
        <f>AVERAGE(D15:F15)</f>
        <v/>
      </c>
      <c r="H15" s="29">
        <f>AVERAGE(E15:G15)</f>
        <v/>
      </c>
      <c r="I15" s="29">
        <f>AVERAGE(F15:H15)</f>
        <v/>
      </c>
    </row>
    <row r="16">
      <c r="A16" s="5" t="inlineStr">
        <is>
          <t>Other income, net (Rs crore)</t>
        </is>
      </c>
      <c r="B16" s="11">
        <f>'Income Statement'!B19</f>
        <v/>
      </c>
      <c r="C16" s="11">
        <f>'Income Statement'!C19</f>
        <v/>
      </c>
      <c r="D16" s="11">
        <f>'Income Statement'!D19</f>
        <v/>
      </c>
      <c r="E16" s="30">
        <f>AVERAGE(B16:D16)</f>
        <v/>
      </c>
      <c r="F16" s="30">
        <f>AVERAGE(C16:E16)</f>
        <v/>
      </c>
      <c r="G16" s="30">
        <f>AVERAGE(D16:F16)</f>
        <v/>
      </c>
      <c r="H16" s="30">
        <f>AVERAGE(E16:G16)</f>
        <v/>
      </c>
      <c r="I16" s="30">
        <f>AVERAGE(F16:H16)</f>
        <v/>
      </c>
      <c r="K16" s="3" t="inlineStr">
        <is>
          <t>Forecast = average of previous 3 years (interest on cash pile + treasury gains)</t>
        </is>
      </c>
    </row>
    <row r="17">
      <c r="A17" s="5" t="inlineStr">
        <is>
          <t>Finance cost / opening lease liabilities</t>
        </is>
      </c>
      <c r="C17" s="15">
        <f>'Income Statement'!C20/('Balance Sheet'!B34+'Balance Sheet'!B41)</f>
        <v/>
      </c>
      <c r="D17" s="15">
        <f>'Income Statement'!D20/('Balance Sheet'!C34+'Balance Sheet'!C41)</f>
        <v/>
      </c>
      <c r="E17" s="29">
        <f>AVERAGE(C17:D17)</f>
        <v/>
      </c>
      <c r="F17" s="29">
        <f>AVERAGE(D17:E17)</f>
        <v/>
      </c>
      <c r="G17" s="29">
        <f>AVERAGE(E17:F17)</f>
        <v/>
      </c>
      <c r="H17" s="29">
        <f>AVERAGE(F17:G17)</f>
        <v/>
      </c>
      <c r="I17" s="29">
        <f>AVERAGE(G17:H17)</f>
        <v/>
      </c>
      <c r="K17" s="3" t="inlineStr">
        <is>
          <t>Infosys has no borrowings; finance cost is almost all lease interest</t>
        </is>
      </c>
    </row>
    <row r="19">
      <c r="A19" s="26" t="inlineStr">
        <is>
          <t>Balance Sheet</t>
        </is>
      </c>
      <c r="B19" s="27" t="n"/>
      <c r="C19" s="27" t="n"/>
      <c r="D19" s="27" t="n"/>
      <c r="E19" s="27" t="n"/>
      <c r="F19" s="27" t="n"/>
      <c r="G19" s="27" t="n"/>
      <c r="H19" s="27" t="n"/>
      <c r="I19" s="27" t="n"/>
    </row>
    <row r="20">
      <c r="A20" s="5" t="inlineStr">
        <is>
          <t>Accounts Receivable Turnover (Revenue / Trade receivables)</t>
        </is>
      </c>
      <c r="B20" s="9">
        <f>'Income Statement'!B7/'Balance Sheet'!B10</f>
        <v/>
      </c>
      <c r="C20" s="9">
        <f>'Income Statement'!C7/'Balance Sheet'!C10</f>
        <v/>
      </c>
      <c r="D20" s="9">
        <f>'Income Statement'!D7/'Balance Sheet'!D10</f>
        <v/>
      </c>
      <c r="E20" s="31">
        <f>AVERAGE(B20:D20)</f>
        <v/>
      </c>
      <c r="F20" s="31">
        <f>AVERAGE(C20:E20)</f>
        <v/>
      </c>
      <c r="G20" s="31">
        <f>AVERAGE(D20:F20)</f>
        <v/>
      </c>
      <c r="H20" s="31">
        <f>AVERAGE(E20:G20)</f>
        <v/>
      </c>
      <c r="I20" s="31">
        <f>AVERAGE(F20:H20)</f>
        <v/>
      </c>
      <c r="K20" s="3" t="inlineStr">
        <is>
          <t>Forecast = average of previous 3 years</t>
        </is>
      </c>
    </row>
    <row r="21">
      <c r="A21" s="5" t="inlineStr">
        <is>
          <t>Other financial assets (current) Turnover</t>
        </is>
      </c>
      <c r="B21" s="9">
        <f>'Income Statement'!B7/'Balance Sheet'!B12</f>
        <v/>
      </c>
      <c r="C21" s="9">
        <f>'Income Statement'!C7/'Balance Sheet'!C12</f>
        <v/>
      </c>
      <c r="D21" s="9">
        <f>'Income Statement'!D7/'Balance Sheet'!D12</f>
        <v/>
      </c>
      <c r="E21" s="31">
        <f>AVERAGE(B21:D21)</f>
        <v/>
      </c>
      <c r="F21" s="31">
        <f>AVERAGE(C21:E21)</f>
        <v/>
      </c>
      <c r="G21" s="31">
        <f>AVERAGE(D21:F21)</f>
        <v/>
      </c>
      <c r="H21" s="31">
        <f>AVERAGE(E21:G21)</f>
        <v/>
      </c>
      <c r="I21" s="31">
        <f>AVERAGE(F21:H21)</f>
        <v/>
      </c>
    </row>
    <row r="22">
      <c r="A22" s="5" t="inlineStr">
        <is>
          <t>Other current assets Turnover</t>
        </is>
      </c>
      <c r="B22" s="9">
        <f>'Income Statement'!B7/'Balance Sheet'!B14</f>
        <v/>
      </c>
      <c r="C22" s="9">
        <f>'Income Statement'!C7/'Balance Sheet'!C14</f>
        <v/>
      </c>
      <c r="D22" s="9">
        <f>'Income Statement'!D7/'Balance Sheet'!D14</f>
        <v/>
      </c>
      <c r="E22" s="31">
        <f>AVERAGE(B22:D22)</f>
        <v/>
      </c>
      <c r="F22" s="31">
        <f>AVERAGE(C22:E22)</f>
        <v/>
      </c>
      <c r="G22" s="31">
        <f>AVERAGE(D22:F22)</f>
        <v/>
      </c>
      <c r="H22" s="31">
        <f>AVERAGE(E22:G22)</f>
        <v/>
      </c>
      <c r="I22" s="31">
        <f>AVERAGE(F22:H22)</f>
        <v/>
      </c>
    </row>
    <row r="23">
      <c r="A23" s="5" t="inlineStr">
        <is>
          <t>Accounts Payable Turnover (Revenue / Trade payables)</t>
        </is>
      </c>
      <c r="B23" s="9">
        <f>'Income Statement'!B7/'Balance Sheet'!B33</f>
        <v/>
      </c>
      <c r="C23" s="9">
        <f>'Income Statement'!C7/'Balance Sheet'!C33</f>
        <v/>
      </c>
      <c r="D23" s="9">
        <f>'Income Statement'!D7/'Balance Sheet'!D33</f>
        <v/>
      </c>
      <c r="E23" s="31">
        <f>AVERAGE(B23:D23)</f>
        <v/>
      </c>
      <c r="F23" s="31">
        <f>AVERAGE(C23:E23)</f>
        <v/>
      </c>
      <c r="G23" s="31">
        <f>AVERAGE(D23:F23)</f>
        <v/>
      </c>
      <c r="H23" s="31">
        <f>AVERAGE(E23:G23)</f>
        <v/>
      </c>
      <c r="I23" s="31">
        <f>AVERAGE(F23:H23)</f>
        <v/>
      </c>
    </row>
    <row r="24">
      <c r="A24" s="5" t="inlineStr">
        <is>
          <t>Other financial liabilities (current) Turnover</t>
        </is>
      </c>
      <c r="B24" s="9">
        <f>'Income Statement'!B7/'Balance Sheet'!B35</f>
        <v/>
      </c>
      <c r="C24" s="9">
        <f>'Income Statement'!C7/'Balance Sheet'!C35</f>
        <v/>
      </c>
      <c r="D24" s="9">
        <f>'Income Statement'!D7/'Balance Sheet'!D35</f>
        <v/>
      </c>
      <c r="E24" s="31">
        <f>AVERAGE(B24:D24)</f>
        <v/>
      </c>
      <c r="F24" s="31">
        <f>AVERAGE(C24:E24)</f>
        <v/>
      </c>
      <c r="G24" s="31">
        <f>AVERAGE(D24:F24)</f>
        <v/>
      </c>
      <c r="H24" s="31">
        <f>AVERAGE(E24:G24)</f>
        <v/>
      </c>
      <c r="I24" s="31">
        <f>AVERAGE(F24:H24)</f>
        <v/>
      </c>
    </row>
    <row r="25">
      <c r="A25" s="5" t="inlineStr">
        <is>
          <t>Other current liabilities Turnover</t>
        </is>
      </c>
      <c r="B25" s="9">
        <f>'Income Statement'!B7/'Balance Sheet'!B36</f>
        <v/>
      </c>
      <c r="C25" s="9">
        <f>'Income Statement'!C7/'Balance Sheet'!C36</f>
        <v/>
      </c>
      <c r="D25" s="9">
        <f>'Income Statement'!D7/'Balance Sheet'!D36</f>
        <v/>
      </c>
      <c r="E25" s="31">
        <f>AVERAGE(B25:D25)</f>
        <v/>
      </c>
      <c r="F25" s="31">
        <f>AVERAGE(C25:E25)</f>
        <v/>
      </c>
      <c r="G25" s="31">
        <f>AVERAGE(D25:F25)</f>
        <v/>
      </c>
      <c r="H25" s="31">
        <f>AVERAGE(E25:G25)</f>
        <v/>
      </c>
      <c r="I25" s="31">
        <f>AVERAGE(F25:H25)</f>
        <v/>
      </c>
    </row>
    <row r="26">
      <c r="A26" s="5" t="inlineStr">
        <is>
          <t>Provisions Turnover</t>
        </is>
      </c>
      <c r="B26" s="9">
        <f>'Income Statement'!B7/'Balance Sheet'!B37</f>
        <v/>
      </c>
      <c r="C26" s="9">
        <f>'Income Statement'!C7/'Balance Sheet'!C37</f>
        <v/>
      </c>
      <c r="D26" s="9">
        <f>'Income Statement'!D7/'Balance Sheet'!D37</f>
        <v/>
      </c>
      <c r="E26" s="31">
        <f>AVERAGE(B26:D26)</f>
        <v/>
      </c>
      <c r="F26" s="31">
        <f>AVERAGE(C26:E26)</f>
        <v/>
      </c>
      <c r="G26" s="31">
        <f>AVERAGE(D26:F26)</f>
        <v/>
      </c>
      <c r="H26" s="31">
        <f>AVERAGE(E26:G26)</f>
        <v/>
      </c>
      <c r="I26" s="31">
        <f>AVERAGE(F26:H26)</f>
        <v/>
      </c>
    </row>
    <row r="27">
      <c r="A27" s="5" t="inlineStr">
        <is>
          <t>Dividend payout ratio (% of owners PAT)</t>
        </is>
      </c>
      <c r="B27" s="15">
        <f>'Income Statement'!B34/'Income Statement'!B26</f>
        <v/>
      </c>
      <c r="C27" s="15">
        <f>'Income Statement'!C34/'Income Statement'!C26</f>
        <v/>
      </c>
      <c r="D27" s="15">
        <f>'Income Statement'!D34/'Income Statement'!D26</f>
        <v/>
      </c>
      <c r="E27" s="28" t="n">
        <v>0.7</v>
      </c>
      <c r="F27" s="28" t="n">
        <v>0.7</v>
      </c>
      <c r="G27" s="28" t="n">
        <v>0.7</v>
      </c>
      <c r="H27" s="28" t="n">
        <v>0.7</v>
      </c>
      <c r="I27" s="28" t="n">
        <v>0.7</v>
      </c>
      <c r="K27" s="3" t="inlineStr">
        <is>
          <t>Input. Policy: ~85% of free cash flow returned over 5 years (FY25 payout incl. Rs8 special dividend)</t>
        </is>
      </c>
    </row>
    <row r="28">
      <c r="A28" s="5" t="inlineStr">
        <is>
          <t>Current portion of lease liabilities (%)</t>
        </is>
      </c>
      <c r="B28" s="15">
        <f>'Balance Sheet'!B34/('Balance Sheet'!B34+'Balance Sheet'!B41)</f>
        <v/>
      </c>
      <c r="C28" s="15">
        <f>'Balance Sheet'!C34/('Balance Sheet'!C34+'Balance Sheet'!C41)</f>
        <v/>
      </c>
      <c r="D28" s="15">
        <f>'Balance Sheet'!D34/('Balance Sheet'!D34+'Balance Sheet'!D41)</f>
        <v/>
      </c>
      <c r="E28" s="29">
        <f>D28</f>
        <v/>
      </c>
      <c r="F28" s="29">
        <f>E28</f>
        <v/>
      </c>
      <c r="G28" s="29">
        <f>F28</f>
        <v/>
      </c>
      <c r="H28" s="29">
        <f>G28</f>
        <v/>
      </c>
      <c r="I28" s="29">
        <f>H28</f>
        <v/>
      </c>
    </row>
    <row r="30">
      <c r="A30" s="26" t="inlineStr">
        <is>
          <t>Capex, Depreciation and Leases</t>
        </is>
      </c>
      <c r="B30" s="27" t="n"/>
      <c r="C30" s="27" t="n"/>
      <c r="D30" s="27" t="n"/>
      <c r="E30" s="27" t="n"/>
      <c r="F30" s="27" t="n"/>
      <c r="G30" s="27" t="n"/>
      <c r="H30" s="27" t="n"/>
      <c r="I30" s="27" t="n"/>
    </row>
    <row r="31">
      <c r="A31" s="5" t="inlineStr">
        <is>
          <t>Capex (PPE + intangibles) as % of revenue</t>
        </is>
      </c>
      <c r="B31" s="15">
        <f>-CFS!B22/'Income Statement'!B7</f>
        <v/>
      </c>
      <c r="C31" s="15">
        <f>-CFS!C22/'Income Statement'!C7</f>
        <v/>
      </c>
      <c r="D31" s="15">
        <f>-CFS!D22/'Income Statement'!D7</f>
        <v/>
      </c>
      <c r="E31" s="29">
        <f>AVERAGE(B31:D31)</f>
        <v/>
      </c>
      <c r="F31" s="29">
        <f>AVERAGE(C31:E31)</f>
        <v/>
      </c>
      <c r="G31" s="29">
        <f>AVERAGE(D31:F31)</f>
        <v/>
      </c>
      <c r="H31" s="29">
        <f>AVERAGE(E31:G31)</f>
        <v/>
      </c>
      <c r="I31" s="29">
        <f>AVERAGE(F31:H31)</f>
        <v/>
      </c>
    </row>
    <row r="32">
      <c r="A32" s="5" t="inlineStr">
        <is>
          <t>PPE share of capex</t>
        </is>
      </c>
      <c r="E32" s="28" t="n">
        <v>0.95</v>
      </c>
      <c r="F32" s="28" t="n">
        <v>0.95</v>
      </c>
      <c r="G32" s="28" t="n">
        <v>0.95</v>
      </c>
      <c r="H32" s="28" t="n">
        <v>0.95</v>
      </c>
      <c r="I32" s="28" t="n">
        <v>0.95</v>
      </c>
      <c r="K32" s="3" t="inlineStr">
        <is>
          <t>Input: remainder goes to intangibles (software)</t>
        </is>
      </c>
    </row>
    <row r="33">
      <c r="A33" s="5" t="inlineStr">
        <is>
          <t>New leases (right-of-use additions) as % of revenue</t>
        </is>
      </c>
      <c r="C33" s="15">
        <f>Assumptions!C47/'Income Statement'!C7</f>
        <v/>
      </c>
      <c r="D33" s="15">
        <f>Assumptions!D47/'Income Statement'!D7</f>
        <v/>
      </c>
      <c r="E33" s="29">
        <f>AVERAGE(C33:D33)</f>
        <v/>
      </c>
      <c r="F33" s="29">
        <f>AVERAGE(D33:E33)</f>
        <v/>
      </c>
      <c r="G33" s="29">
        <f>AVERAGE(E33:F33)</f>
        <v/>
      </c>
      <c r="H33" s="29">
        <f>AVERAGE(F33:G33)</f>
        <v/>
      </c>
      <c r="I33" s="29">
        <f>AVERAGE(G33:H33)</f>
        <v/>
      </c>
    </row>
    <row r="34">
      <c r="A34" s="5" t="inlineStr">
        <is>
          <t>D&amp;A as % of opening net block (PPE + ROU + intangibles)</t>
        </is>
      </c>
      <c r="C34" s="15">
        <f>'Income Statement'!C17/('Balance Sheet'!B17+'Balance Sheet'!B18+'Balance Sheet'!B21)</f>
        <v/>
      </c>
      <c r="D34" s="15">
        <f>'Income Statement'!D17/('Balance Sheet'!C17+'Balance Sheet'!C18+'Balance Sheet'!C21)</f>
        <v/>
      </c>
      <c r="E34" s="29">
        <f>AVERAGE(C34:D34)</f>
        <v/>
      </c>
      <c r="F34" s="29">
        <f>AVERAGE(D34:E34)</f>
        <v/>
      </c>
      <c r="G34" s="29">
        <f>AVERAGE(E34:F34)</f>
        <v/>
      </c>
      <c r="H34" s="29">
        <f>AVERAGE(F34:G34)</f>
        <v/>
      </c>
      <c r="I34" s="29">
        <f>AVERAGE(G34:H34)</f>
        <v/>
      </c>
    </row>
    <row r="35">
      <c r="A35" s="5" t="inlineStr">
        <is>
          <t>Lease payments (principal + interest) / opening lease liabilities</t>
        </is>
      </c>
      <c r="C35" s="15">
        <f>-CFS!C29/('Balance Sheet'!B34+'Balance Sheet'!B41)</f>
        <v/>
      </c>
      <c r="D35" s="15">
        <f>-CFS!D29/('Balance Sheet'!C34+'Balance Sheet'!C41)</f>
        <v/>
      </c>
      <c r="E35" s="29">
        <f>AVERAGE(C35:D35)</f>
        <v/>
      </c>
      <c r="F35" s="29">
        <f>AVERAGE(D35:E35)</f>
        <v/>
      </c>
      <c r="G35" s="29">
        <f>AVERAGE(E35:F35)</f>
        <v/>
      </c>
      <c r="H35" s="29">
        <f>AVERAGE(F35:G35)</f>
        <v/>
      </c>
      <c r="I35" s="29">
        <f>AVERAGE(G35:H35)</f>
        <v/>
      </c>
    </row>
    <row r="38">
      <c r="A38" s="26" t="inlineStr">
        <is>
          <t>ASSET SCHEDULE</t>
        </is>
      </c>
      <c r="B38" s="27" t="n"/>
      <c r="C38" s="27" t="n"/>
      <c r="D38" s="27" t="n"/>
      <c r="E38" s="27" t="n"/>
      <c r="F38" s="27" t="n"/>
      <c r="G38" s="27" t="n"/>
      <c r="H38" s="27" t="n"/>
      <c r="I38" s="27" t="n"/>
    </row>
    <row r="39">
      <c r="A39" s="2" t="inlineStr">
        <is>
          <t>Property, Plant &amp; Equipment</t>
        </is>
      </c>
    </row>
    <row r="40">
      <c r="A40" s="5" t="inlineStr">
        <is>
          <t>Net block (Opening)</t>
        </is>
      </c>
      <c r="E40" s="30">
        <f>D43</f>
        <v/>
      </c>
      <c r="F40" s="30">
        <f>E43</f>
        <v/>
      </c>
      <c r="G40" s="30">
        <f>F43</f>
        <v/>
      </c>
      <c r="H40" s="30">
        <f>G43</f>
        <v/>
      </c>
      <c r="I40" s="30">
        <f>H43</f>
        <v/>
      </c>
    </row>
    <row r="41">
      <c r="A41" s="5" t="inlineStr">
        <is>
          <t>+ Capex on PPE</t>
        </is>
      </c>
      <c r="E41" s="32">
        <f>'Income Statement'!E7*E31*E32</f>
        <v/>
      </c>
      <c r="F41" s="32">
        <f>'Income Statement'!F7*F31*F32</f>
        <v/>
      </c>
      <c r="G41" s="32">
        <f>'Income Statement'!G7*G31*G32</f>
        <v/>
      </c>
      <c r="H41" s="32">
        <f>'Income Statement'!H7*H31*H32</f>
        <v/>
      </c>
      <c r="I41" s="32">
        <f>'Income Statement'!I7*I31*I32</f>
        <v/>
      </c>
    </row>
    <row r="42">
      <c r="A42" s="5" t="inlineStr">
        <is>
          <t>- Depreciation</t>
        </is>
      </c>
      <c r="E42" s="30">
        <f>E34*E40</f>
        <v/>
      </c>
      <c r="F42" s="30">
        <f>F34*F40</f>
        <v/>
      </c>
      <c r="G42" s="30">
        <f>G34*G40</f>
        <v/>
      </c>
      <c r="H42" s="30">
        <f>H34*H40</f>
        <v/>
      </c>
      <c r="I42" s="30">
        <f>I34*I40</f>
        <v/>
      </c>
    </row>
    <row r="43">
      <c r="A43" s="2" t="inlineStr">
        <is>
          <t>Net block (Closing)</t>
        </is>
      </c>
      <c r="B43" s="33">
        <f>'Balance Sheet'!B17</f>
        <v/>
      </c>
      <c r="C43" s="33">
        <f>'Balance Sheet'!C17</f>
        <v/>
      </c>
      <c r="D43" s="33">
        <f>'Balance Sheet'!D17</f>
        <v/>
      </c>
      <c r="E43" s="34">
        <f>E40+E41-E42</f>
        <v/>
      </c>
      <c r="F43" s="34">
        <f>F40+F41-F42</f>
        <v/>
      </c>
      <c r="G43" s="34">
        <f>G40+G41-G42</f>
        <v/>
      </c>
      <c r="H43" s="34">
        <f>H40+H41-H42</f>
        <v/>
      </c>
      <c r="I43" s="34">
        <f>I40+I41-I42</f>
        <v/>
      </c>
    </row>
    <row r="45">
      <c r="A45" s="2" t="inlineStr">
        <is>
          <t>Right-of-use assets (leases)</t>
        </is>
      </c>
    </row>
    <row r="46">
      <c r="A46" s="5" t="inlineStr">
        <is>
          <t>Net block (Opening)</t>
        </is>
      </c>
      <c r="E46" s="30">
        <f>D49</f>
        <v/>
      </c>
      <c r="F46" s="30">
        <f>E49</f>
        <v/>
      </c>
      <c r="G46" s="30">
        <f>F49</f>
        <v/>
      </c>
      <c r="H46" s="30">
        <f>G49</f>
        <v/>
      </c>
      <c r="I46" s="30">
        <f>H49</f>
        <v/>
      </c>
    </row>
    <row r="47">
      <c r="A47" s="5" t="inlineStr">
        <is>
          <t>+ New leases</t>
        </is>
      </c>
      <c r="C47" s="35" t="n">
        <v>2190</v>
      </c>
      <c r="D47" s="35" t="n">
        <v>2156</v>
      </c>
      <c r="E47" s="32">
        <f>'Income Statement'!E7*E33</f>
        <v/>
      </c>
      <c r="F47" s="32">
        <f>'Income Statement'!F7*F33</f>
        <v/>
      </c>
      <c r="G47" s="32">
        <f>'Income Statement'!G7*G33</f>
        <v/>
      </c>
      <c r="H47" s="32">
        <f>'Income Statement'!H7*H33</f>
        <v/>
      </c>
      <c r="I47" s="32">
        <f>'Income Statement'!I7*I33</f>
        <v/>
      </c>
      <c r="K47" s="3" t="inlineStr">
        <is>
          <t>Hist: Note 2.21 (FY24, FY25)</t>
        </is>
      </c>
    </row>
    <row r="48">
      <c r="A48" s="5" t="inlineStr">
        <is>
          <t>- Depreciation</t>
        </is>
      </c>
      <c r="E48" s="30">
        <f>E34*E46</f>
        <v/>
      </c>
      <c r="F48" s="30">
        <f>F34*F46</f>
        <v/>
      </c>
      <c r="G48" s="30">
        <f>G34*G46</f>
        <v/>
      </c>
      <c r="H48" s="30">
        <f>H34*H46</f>
        <v/>
      </c>
      <c r="I48" s="30">
        <f>I34*I46</f>
        <v/>
      </c>
    </row>
    <row r="49">
      <c r="A49" s="2" t="inlineStr">
        <is>
          <t>Net block (Closing)</t>
        </is>
      </c>
      <c r="B49" s="33">
        <f>'Balance Sheet'!B18</f>
        <v/>
      </c>
      <c r="C49" s="33">
        <f>'Balance Sheet'!C18</f>
        <v/>
      </c>
      <c r="D49" s="33">
        <f>'Balance Sheet'!D18</f>
        <v/>
      </c>
      <c r="E49" s="34">
        <f>E46+E47-E48</f>
        <v/>
      </c>
      <c r="F49" s="34">
        <f>F46+F47-F48</f>
        <v/>
      </c>
      <c r="G49" s="34">
        <f>G46+G47-G48</f>
        <v/>
      </c>
      <c r="H49" s="34">
        <f>H46+H47-H48</f>
        <v/>
      </c>
      <c r="I49" s="34">
        <f>I46+I47-I48</f>
        <v/>
      </c>
    </row>
    <row r="51">
      <c r="A51" s="2" t="inlineStr">
        <is>
          <t>Other intangible assets</t>
        </is>
      </c>
    </row>
    <row r="52">
      <c r="A52" s="5" t="inlineStr">
        <is>
          <t>Net block (Opening)</t>
        </is>
      </c>
      <c r="E52" s="30">
        <f>D55</f>
        <v/>
      </c>
      <c r="F52" s="30">
        <f>E55</f>
        <v/>
      </c>
      <c r="G52" s="30">
        <f>F55</f>
        <v/>
      </c>
      <c r="H52" s="30">
        <f>G55</f>
        <v/>
      </c>
      <c r="I52" s="30">
        <f>H55</f>
        <v/>
      </c>
    </row>
    <row r="53">
      <c r="A53" s="5" t="inlineStr">
        <is>
          <t>+ Capex on intangibles</t>
        </is>
      </c>
      <c r="E53" s="32">
        <f>'Income Statement'!E7*E31*(1-E32)</f>
        <v/>
      </c>
      <c r="F53" s="32">
        <f>'Income Statement'!F7*F31*(1-F32)</f>
        <v/>
      </c>
      <c r="G53" s="32">
        <f>'Income Statement'!G7*G31*(1-G32)</f>
        <v/>
      </c>
      <c r="H53" s="32">
        <f>'Income Statement'!H7*H31*(1-H32)</f>
        <v/>
      </c>
      <c r="I53" s="32">
        <f>'Income Statement'!I7*I31*(1-I32)</f>
        <v/>
      </c>
    </row>
    <row r="54">
      <c r="A54" s="5" t="inlineStr">
        <is>
          <t>- Amortisation</t>
        </is>
      </c>
      <c r="E54" s="30">
        <f>E34*E52</f>
        <v/>
      </c>
      <c r="F54" s="30">
        <f>F34*F52</f>
        <v/>
      </c>
      <c r="G54" s="30">
        <f>G34*G52</f>
        <v/>
      </c>
      <c r="H54" s="30">
        <f>H34*H52</f>
        <v/>
      </c>
      <c r="I54" s="30">
        <f>I34*I52</f>
        <v/>
      </c>
    </row>
    <row r="55">
      <c r="A55" s="2" t="inlineStr">
        <is>
          <t>Net block (Closing)</t>
        </is>
      </c>
      <c r="B55" s="33">
        <f>'Balance Sheet'!B21</f>
        <v/>
      </c>
      <c r="C55" s="33">
        <f>'Balance Sheet'!C21</f>
        <v/>
      </c>
      <c r="D55" s="33">
        <f>'Balance Sheet'!D21</f>
        <v/>
      </c>
      <c r="E55" s="34">
        <f>E52+E53-E54</f>
        <v/>
      </c>
      <c r="F55" s="34">
        <f>F52+F53-F54</f>
        <v/>
      </c>
      <c r="G55" s="34">
        <f>G52+G53-G54</f>
        <v/>
      </c>
      <c r="H55" s="34">
        <f>H52+H53-H54</f>
        <v/>
      </c>
      <c r="I55" s="34">
        <f>I52+I53-I54</f>
        <v/>
      </c>
    </row>
    <row r="57">
      <c r="A57" s="2" t="inlineStr">
        <is>
          <t>Total Depreciation &amp; Amortisation</t>
        </is>
      </c>
      <c r="B57" s="36">
        <f>'Income Statement'!B17</f>
        <v/>
      </c>
      <c r="C57" s="36">
        <f>'Income Statement'!C17</f>
        <v/>
      </c>
      <c r="D57" s="36">
        <f>'Income Statement'!D17</f>
        <v/>
      </c>
      <c r="E57" s="37">
        <f>E42+E48+E54</f>
        <v/>
      </c>
      <c r="F57" s="37">
        <f>F42+F48+F54</f>
        <v/>
      </c>
      <c r="G57" s="37">
        <f>G42+G48+G54</f>
        <v/>
      </c>
      <c r="H57" s="37">
        <f>H42+H48+H54</f>
        <v/>
      </c>
      <c r="I57" s="37">
        <f>I42+I48+I54</f>
        <v/>
      </c>
    </row>
    <row r="59">
      <c r="A59" s="2" t="inlineStr">
        <is>
          <t>Lease liability schedule</t>
        </is>
      </c>
    </row>
    <row r="60">
      <c r="A60" s="5" t="inlineStr">
        <is>
          <t>Lease liabilities (Opening)</t>
        </is>
      </c>
      <c r="E60" s="30">
        <f>D64</f>
        <v/>
      </c>
      <c r="F60" s="30">
        <f>E64</f>
        <v/>
      </c>
      <c r="G60" s="30">
        <f>F64</f>
        <v/>
      </c>
      <c r="H60" s="30">
        <f>G64</f>
        <v/>
      </c>
      <c r="I60" s="30">
        <f>H64</f>
        <v/>
      </c>
    </row>
    <row r="61">
      <c r="A61" s="5" t="inlineStr">
        <is>
          <t>+ New leases</t>
        </is>
      </c>
      <c r="E61" s="30">
        <f>E47</f>
        <v/>
      </c>
      <c r="F61" s="30">
        <f>F47</f>
        <v/>
      </c>
      <c r="G61" s="30">
        <f>G47</f>
        <v/>
      </c>
      <c r="H61" s="30">
        <f>H47</f>
        <v/>
      </c>
      <c r="I61" s="30">
        <f>I47</f>
        <v/>
      </c>
    </row>
    <row r="62">
      <c r="A62" s="5" t="inlineStr">
        <is>
          <t>+ Interest (finance cost)</t>
        </is>
      </c>
      <c r="E62" s="30">
        <f>E17*E60</f>
        <v/>
      </c>
      <c r="F62" s="30">
        <f>F17*F60</f>
        <v/>
      </c>
      <c r="G62" s="30">
        <f>G17*G60</f>
        <v/>
      </c>
      <c r="H62" s="30">
        <f>H17*H60</f>
        <v/>
      </c>
      <c r="I62" s="30">
        <f>I17*I60</f>
        <v/>
      </c>
    </row>
    <row r="63">
      <c r="A63" s="5" t="inlineStr">
        <is>
          <t>- Lease payments (principal + interest)</t>
        </is>
      </c>
      <c r="E63" s="30">
        <f>E35*E60</f>
        <v/>
      </c>
      <c r="F63" s="30">
        <f>F35*F60</f>
        <v/>
      </c>
      <c r="G63" s="30">
        <f>G35*G60</f>
        <v/>
      </c>
      <c r="H63" s="30">
        <f>H35*H60</f>
        <v/>
      </c>
      <c r="I63" s="30">
        <f>I35*I60</f>
        <v/>
      </c>
    </row>
    <row r="64">
      <c r="A64" s="2" t="inlineStr">
        <is>
          <t>Lease liabilities (Closing)</t>
        </is>
      </c>
      <c r="B64" s="33">
        <f>'Balance Sheet'!B34+'Balance Sheet'!B41</f>
        <v/>
      </c>
      <c r="C64" s="33">
        <f>'Balance Sheet'!C34+'Balance Sheet'!C41</f>
        <v/>
      </c>
      <c r="D64" s="33">
        <f>'Balance Sheet'!D34+'Balance Sheet'!D41</f>
        <v/>
      </c>
      <c r="E64" s="34">
        <f>E60+E61+E62-E63</f>
        <v/>
      </c>
      <c r="F64" s="34">
        <f>F60+F61+F62-F63</f>
        <v/>
      </c>
      <c r="G64" s="34">
        <f>G60+G61+G62-G63</f>
        <v/>
      </c>
      <c r="H64" s="34">
        <f>H60+H61+H62-H63</f>
        <v/>
      </c>
      <c r="I64" s="34">
        <f>I60+I61+I62-I63</f>
        <v/>
      </c>
    </row>
    <row r="65">
      <c r="A65" s="5" t="inlineStr">
        <is>
          <t xml:space="preserve">   current portion</t>
        </is>
      </c>
      <c r="E65" s="30">
        <f>E64*E28</f>
        <v/>
      </c>
      <c r="F65" s="30">
        <f>F64*F28</f>
        <v/>
      </c>
      <c r="G65" s="30">
        <f>G64*G28</f>
        <v/>
      </c>
      <c r="H65" s="30">
        <f>H64*H28</f>
        <v/>
      </c>
      <c r="I65" s="30">
        <f>I64*I28</f>
        <v/>
      </c>
    </row>
    <row r="66">
      <c r="A66" s="5" t="inlineStr">
        <is>
          <t xml:space="preserve">   non-current portion</t>
        </is>
      </c>
      <c r="E66" s="30">
        <f>E64-E65</f>
        <v/>
      </c>
      <c r="F66" s="30">
        <f>F64-F65</f>
        <v/>
      </c>
      <c r="G66" s="30">
        <f>G64-G65</f>
        <v/>
      </c>
      <c r="H66" s="30">
        <f>H64-H65</f>
        <v/>
      </c>
      <c r="I66" s="30">
        <f>I64-I65</f>
        <v/>
      </c>
    </row>
  </sheetData>
  <pageMargins left="0.75" right="0.75" top="1" bottom="1" header="0.5" footer="0.5"/>
</worksheet>
</file>

<file path=xl/worksheets/sheet4.xml><?xml version="1.0" encoding="utf-8"?>
<worksheet xmlns="http://schemas.openxmlformats.org/spreadsheetml/2006/main">
  <sheetPr>
    <tabColor rgb="004F81BD"/>
    <outlinePr summaryBelow="1" summaryRight="1"/>
    <pageSetUpPr/>
  </sheetPr>
  <dimension ref="A1:I5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 width="12.5" customWidth="1" min="15" max="15"/>
    <col width="12.5" customWidth="1" min="16" max="16"/>
  </cols>
  <sheetData>
    <row r="1">
      <c r="A1" s="1" t="inlineStr">
        <is>
          <t>Infosys Limited</t>
        </is>
      </c>
    </row>
    <row r="2">
      <c r="A2" s="2" t="inlineStr">
        <is>
          <t>INCOME STATEMENTS</t>
        </is>
      </c>
    </row>
    <row r="3">
      <c r="A3" s="3" t="inlineStr">
        <is>
          <t>(In INR Crores, unless otherwise stated)  |  Blue = reported / hard-coded input, Black = formula, yellow cells = forecast</t>
        </is>
      </c>
    </row>
    <row r="5">
      <c r="A5" s="18" t="inlineStr">
        <is>
          <t>Particulars</t>
        </is>
      </c>
      <c r="B5" s="19">
        <f>Assumptions!B5</f>
        <v/>
      </c>
      <c r="C5" s="19">
        <f>Assumptions!C5</f>
        <v/>
      </c>
      <c r="D5" s="19">
        <f>Assumptions!D5</f>
        <v/>
      </c>
      <c r="E5" s="19">
        <f>Assumptions!E5</f>
        <v/>
      </c>
      <c r="F5" s="19">
        <f>Assumptions!F5</f>
        <v/>
      </c>
      <c r="G5" s="19">
        <f>Assumptions!G5</f>
        <v/>
      </c>
      <c r="H5" s="19">
        <f>Assumptions!H5</f>
        <v/>
      </c>
      <c r="I5" s="19">
        <f>Assumptions!I5</f>
        <v/>
      </c>
    </row>
    <row r="7">
      <c r="A7" s="2" t="inlineStr">
        <is>
          <t>Revenue from Operations</t>
        </is>
      </c>
      <c r="B7" s="38" t="n">
        <v>146767</v>
      </c>
      <c r="C7" s="38" t="n">
        <v>153670</v>
      </c>
      <c r="D7" s="38" t="n">
        <v>162990</v>
      </c>
      <c r="E7" s="39">
        <f>D7*(1+Assumptions!E7)</f>
        <v/>
      </c>
      <c r="F7" s="39">
        <f>E7*(1+Assumptions!F7)</f>
        <v/>
      </c>
      <c r="G7" s="39">
        <f>F7*(1+Assumptions!G7)</f>
        <v/>
      </c>
      <c r="H7" s="39">
        <f>G7*(1+Assumptions!H7)</f>
        <v/>
      </c>
      <c r="I7" s="39">
        <f>H7*(1+Assumptions!I7)</f>
        <v/>
      </c>
    </row>
    <row r="8">
      <c r="A8" s="5" t="inlineStr">
        <is>
          <t>Employee benefit expenses</t>
        </is>
      </c>
      <c r="B8" s="35" t="n">
        <v>78359</v>
      </c>
      <c r="C8" s="35" t="n">
        <v>82620</v>
      </c>
      <c r="D8" s="35" t="n">
        <v>85950</v>
      </c>
      <c r="E8" s="32">
        <f>E$7*Assumptions!E8</f>
        <v/>
      </c>
      <c r="F8" s="32">
        <f>F$7*Assumptions!F8</f>
        <v/>
      </c>
      <c r="G8" s="32">
        <f>G$7*Assumptions!G8</f>
        <v/>
      </c>
      <c r="H8" s="32">
        <f>H$7*Assumptions!H8</f>
        <v/>
      </c>
      <c r="I8" s="32">
        <f>I$7*Assumptions!I8</f>
        <v/>
      </c>
    </row>
    <row r="9">
      <c r="A9" s="5" t="inlineStr">
        <is>
          <t>Cost of technical sub-contractors</t>
        </is>
      </c>
      <c r="B9" s="35" t="n">
        <v>14062</v>
      </c>
      <c r="C9" s="35" t="n">
        <v>12232</v>
      </c>
      <c r="D9" s="35" t="n">
        <v>12937</v>
      </c>
      <c r="E9" s="32">
        <f>E$7*Assumptions!E9</f>
        <v/>
      </c>
      <c r="F9" s="32">
        <f>F$7*Assumptions!F9</f>
        <v/>
      </c>
      <c r="G9" s="32">
        <f>G$7*Assumptions!G9</f>
        <v/>
      </c>
      <c r="H9" s="32">
        <f>H$7*Assumptions!H9</f>
        <v/>
      </c>
      <c r="I9" s="32">
        <f>I$7*Assumptions!I9</f>
        <v/>
      </c>
    </row>
    <row r="10">
      <c r="A10" s="5" t="inlineStr">
        <is>
          <t>Travel expenses</t>
        </is>
      </c>
      <c r="B10" s="35" t="n">
        <v>1525</v>
      </c>
      <c r="C10" s="35" t="n">
        <v>1759</v>
      </c>
      <c r="D10" s="35" t="n">
        <v>1894</v>
      </c>
      <c r="E10" s="32">
        <f>E$7*Assumptions!E10</f>
        <v/>
      </c>
      <c r="F10" s="32">
        <f>F$7*Assumptions!F10</f>
        <v/>
      </c>
      <c r="G10" s="32">
        <f>G$7*Assumptions!G10</f>
        <v/>
      </c>
      <c r="H10" s="32">
        <f>H$7*Assumptions!H10</f>
        <v/>
      </c>
      <c r="I10" s="32">
        <f>I$7*Assumptions!I10</f>
        <v/>
      </c>
    </row>
    <row r="11">
      <c r="A11" s="5" t="inlineStr">
        <is>
          <t>Cost of software packages and others</t>
        </is>
      </c>
      <c r="B11" s="35" t="n">
        <v>10902</v>
      </c>
      <c r="C11" s="35" t="n">
        <v>13515</v>
      </c>
      <c r="D11" s="35" t="n">
        <v>15911</v>
      </c>
      <c r="E11" s="32">
        <f>E$7*Assumptions!E11</f>
        <v/>
      </c>
      <c r="F11" s="32">
        <f>F$7*Assumptions!F11</f>
        <v/>
      </c>
      <c r="G11" s="32">
        <f>G$7*Assumptions!G11</f>
        <v/>
      </c>
      <c r="H11" s="32">
        <f>H$7*Assumptions!H11</f>
        <v/>
      </c>
      <c r="I11" s="32">
        <f>I$7*Assumptions!I11</f>
        <v/>
      </c>
    </row>
    <row r="12">
      <c r="A12" s="5" t="inlineStr">
        <is>
          <t>Communication expenses</t>
        </is>
      </c>
      <c r="B12" s="35" t="n">
        <v>713</v>
      </c>
      <c r="C12" s="35" t="n">
        <v>677</v>
      </c>
      <c r="D12" s="35" t="n">
        <v>620</v>
      </c>
      <c r="E12" s="32">
        <f>E$7*Assumptions!E12</f>
        <v/>
      </c>
      <c r="F12" s="32">
        <f>F$7*Assumptions!F12</f>
        <v/>
      </c>
      <c r="G12" s="32">
        <f>G$7*Assumptions!G12</f>
        <v/>
      </c>
      <c r="H12" s="32">
        <f>H$7*Assumptions!H12</f>
        <v/>
      </c>
      <c r="I12" s="32">
        <f>I$7*Assumptions!I12</f>
        <v/>
      </c>
    </row>
    <row r="13">
      <c r="A13" s="5" t="inlineStr">
        <is>
          <t>Consultancy and professional charges</t>
        </is>
      </c>
      <c r="B13" s="35" t="n">
        <v>1684</v>
      </c>
      <c r="C13" s="35" t="n">
        <v>1726</v>
      </c>
      <c r="D13" s="35" t="n">
        <v>1655</v>
      </c>
      <c r="E13" s="32">
        <f>E$7*Assumptions!E13</f>
        <v/>
      </c>
      <c r="F13" s="32">
        <f>F$7*Assumptions!F13</f>
        <v/>
      </c>
      <c r="G13" s="32">
        <f>G$7*Assumptions!G13</f>
        <v/>
      </c>
      <c r="H13" s="32">
        <f>H$7*Assumptions!H13</f>
        <v/>
      </c>
      <c r="I13" s="32">
        <f>I$7*Assumptions!I13</f>
        <v/>
      </c>
    </row>
    <row r="14">
      <c r="A14" s="5" t="inlineStr">
        <is>
          <t>Other expenses</t>
        </is>
      </c>
      <c r="B14" s="35" t="n">
        <v>4392</v>
      </c>
      <c r="C14" s="35" t="n">
        <v>4716</v>
      </c>
      <c r="D14" s="35" t="n">
        <v>4787</v>
      </c>
      <c r="E14" s="32">
        <f>E$7*Assumptions!E14</f>
        <v/>
      </c>
      <c r="F14" s="32">
        <f>F$7*Assumptions!F14</f>
        <v/>
      </c>
      <c r="G14" s="32">
        <f>G$7*Assumptions!G14</f>
        <v/>
      </c>
      <c r="H14" s="32">
        <f>H$7*Assumptions!H14</f>
        <v/>
      </c>
      <c r="I14" s="32">
        <f>I$7*Assumptions!I14</f>
        <v/>
      </c>
    </row>
    <row r="15">
      <c r="A15" s="2" t="inlineStr">
        <is>
          <t>Total Operating Expenditure</t>
        </is>
      </c>
      <c r="B15" s="40">
        <f>SUM(B8:B14)</f>
        <v/>
      </c>
      <c r="C15" s="40">
        <f>SUM(C8:C14)</f>
        <v/>
      </c>
      <c r="D15" s="40">
        <f>SUM(D8:D14)</f>
        <v/>
      </c>
      <c r="E15" s="34">
        <f>SUM(E8:E14)</f>
        <v/>
      </c>
      <c r="F15" s="34">
        <f>SUM(F8:F14)</f>
        <v/>
      </c>
      <c r="G15" s="34">
        <f>SUM(G8:G14)</f>
        <v/>
      </c>
      <c r="H15" s="34">
        <f>SUM(H8:H14)</f>
        <v/>
      </c>
      <c r="I15" s="34">
        <f>SUM(I8:I14)</f>
        <v/>
      </c>
    </row>
    <row r="16">
      <c r="A16" s="2" t="inlineStr">
        <is>
          <t>EBITDA</t>
        </is>
      </c>
      <c r="B16" s="41">
        <f>B7-B15</f>
        <v/>
      </c>
      <c r="C16" s="41">
        <f>C7-C15</f>
        <v/>
      </c>
      <c r="D16" s="41">
        <f>D7-D15</f>
        <v/>
      </c>
      <c r="E16" s="37">
        <f>E7-E15</f>
        <v/>
      </c>
      <c r="F16" s="37">
        <f>F7-F15</f>
        <v/>
      </c>
      <c r="G16" s="37">
        <f>G7-G15</f>
        <v/>
      </c>
      <c r="H16" s="37">
        <f>H7-H15</f>
        <v/>
      </c>
      <c r="I16" s="37">
        <f>I7-I15</f>
        <v/>
      </c>
    </row>
    <row r="17">
      <c r="A17" s="5" t="inlineStr">
        <is>
          <t>Depreciation &amp; Amortisation</t>
        </is>
      </c>
      <c r="B17" s="35" t="n">
        <v>4225</v>
      </c>
      <c r="C17" s="35" t="n">
        <v>4678</v>
      </c>
      <c r="D17" s="35" t="n">
        <v>4812</v>
      </c>
      <c r="E17" s="32">
        <f>Assumptions!E57</f>
        <v/>
      </c>
      <c r="F17" s="32">
        <f>Assumptions!F57</f>
        <v/>
      </c>
      <c r="G17" s="32">
        <f>Assumptions!G57</f>
        <v/>
      </c>
      <c r="H17" s="32">
        <f>Assumptions!H57</f>
        <v/>
      </c>
      <c r="I17" s="32">
        <f>Assumptions!I57</f>
        <v/>
      </c>
    </row>
    <row r="18">
      <c r="A18" s="2" t="inlineStr">
        <is>
          <t>EBIT (Operating Profit)</t>
        </is>
      </c>
      <c r="B18" s="40">
        <f>B16-B17</f>
        <v/>
      </c>
      <c r="C18" s="40">
        <f>C16-C17</f>
        <v/>
      </c>
      <c r="D18" s="40">
        <f>D16-D17</f>
        <v/>
      </c>
      <c r="E18" s="34">
        <f>E16-E17</f>
        <v/>
      </c>
      <c r="F18" s="34">
        <f>F16-F17</f>
        <v/>
      </c>
      <c r="G18" s="34">
        <f>G16-G17</f>
        <v/>
      </c>
      <c r="H18" s="34">
        <f>H16-H17</f>
        <v/>
      </c>
      <c r="I18" s="34">
        <f>I16-I17</f>
        <v/>
      </c>
    </row>
    <row r="19">
      <c r="A19" s="5" t="inlineStr">
        <is>
          <t>Other Income, net</t>
        </is>
      </c>
      <c r="B19" s="35" t="n">
        <v>2701</v>
      </c>
      <c r="C19" s="35" t="n">
        <v>4711</v>
      </c>
      <c r="D19" s="35" t="n">
        <v>3600</v>
      </c>
      <c r="E19" s="32">
        <f>Assumptions!E16</f>
        <v/>
      </c>
      <c r="F19" s="32">
        <f>Assumptions!F16</f>
        <v/>
      </c>
      <c r="G19" s="32">
        <f>Assumptions!G16</f>
        <v/>
      </c>
      <c r="H19" s="32">
        <f>Assumptions!H16</f>
        <v/>
      </c>
      <c r="I19" s="32">
        <f>Assumptions!I16</f>
        <v/>
      </c>
    </row>
    <row r="20">
      <c r="A20" s="5" t="inlineStr">
        <is>
          <t>Finance Cost (lease interest)</t>
        </is>
      </c>
      <c r="B20" s="35" t="n">
        <v>284</v>
      </c>
      <c r="C20" s="35" t="n">
        <v>470</v>
      </c>
      <c r="D20" s="35" t="n">
        <v>416</v>
      </c>
      <c r="E20" s="32">
        <f>Assumptions!E62</f>
        <v/>
      </c>
      <c r="F20" s="32">
        <f>Assumptions!F62</f>
        <v/>
      </c>
      <c r="G20" s="32">
        <f>Assumptions!G62</f>
        <v/>
      </c>
      <c r="H20" s="32">
        <f>Assumptions!H62</f>
        <v/>
      </c>
      <c r="I20" s="32">
        <f>Assumptions!I62</f>
        <v/>
      </c>
    </row>
    <row r="21">
      <c r="A21" s="2" t="inlineStr">
        <is>
          <t>Profit before Tax</t>
        </is>
      </c>
      <c r="B21" s="40">
        <f>B18+B19-B20</f>
        <v/>
      </c>
      <c r="C21" s="40">
        <f>C18+C19-C20</f>
        <v/>
      </c>
      <c r="D21" s="40">
        <f>D18+D19-D20</f>
        <v/>
      </c>
      <c r="E21" s="34">
        <f>E18+E19-E20</f>
        <v/>
      </c>
      <c r="F21" s="34">
        <f>F18+F19-F20</f>
        <v/>
      </c>
      <c r="G21" s="34">
        <f>G18+G19-G20</f>
        <v/>
      </c>
      <c r="H21" s="34">
        <f>H18+H19-H20</f>
        <v/>
      </c>
      <c r="I21" s="34">
        <f>I18+I19-I20</f>
        <v/>
      </c>
    </row>
    <row r="22">
      <c r="A22" s="5" t="inlineStr">
        <is>
          <t>Current Tax</t>
        </is>
      </c>
      <c r="B22" s="35" t="n">
        <v>9287</v>
      </c>
      <c r="C22" s="35" t="n">
        <v>8390</v>
      </c>
      <c r="D22" s="35" t="n">
        <v>12130</v>
      </c>
      <c r="E22" s="32">
        <f>E21*Assumptions!E15</f>
        <v/>
      </c>
      <c r="F22" s="32">
        <f>F21*Assumptions!F15</f>
        <v/>
      </c>
      <c r="G22" s="32">
        <f>G21*Assumptions!G15</f>
        <v/>
      </c>
      <c r="H22" s="32">
        <f>H21*Assumptions!H15</f>
        <v/>
      </c>
      <c r="I22" s="32">
        <f>I21*Assumptions!I15</f>
        <v/>
      </c>
    </row>
    <row r="23">
      <c r="A23" s="5" t="inlineStr">
        <is>
          <t>Deferred Tax</t>
        </is>
      </c>
      <c r="B23" s="35" t="n">
        <v>-73</v>
      </c>
      <c r="C23" s="35" t="n">
        <v>1350</v>
      </c>
      <c r="D23" s="35" t="n">
        <v>-1272</v>
      </c>
      <c r="E23" s="42" t="n">
        <v>0</v>
      </c>
      <c r="F23" s="42" t="n">
        <v>0</v>
      </c>
      <c r="G23" s="42" t="n">
        <v>0</v>
      </c>
      <c r="H23" s="42" t="n">
        <v>0</v>
      </c>
      <c r="I23" s="42" t="n">
        <v>0</v>
      </c>
    </row>
    <row r="24">
      <c r="A24" s="2" t="inlineStr">
        <is>
          <t>Profit after Tax</t>
        </is>
      </c>
      <c r="B24" s="40">
        <f>B21-B22-B23</f>
        <v/>
      </c>
      <c r="C24" s="40">
        <f>C21-C22-C23</f>
        <v/>
      </c>
      <c r="D24" s="40">
        <f>D21-D22-D23</f>
        <v/>
      </c>
      <c r="E24" s="34">
        <f>E21-E22-E23</f>
        <v/>
      </c>
      <c r="F24" s="34">
        <f>F21-F22-F23</f>
        <v/>
      </c>
      <c r="G24" s="34">
        <f>G21-G22-G23</f>
        <v/>
      </c>
      <c r="H24" s="34">
        <f>H21-H22-H23</f>
        <v/>
      </c>
      <c r="I24" s="34">
        <f>I21-I22-I23</f>
        <v/>
      </c>
    </row>
    <row r="25">
      <c r="A25" s="5" t="inlineStr">
        <is>
          <t>Minority Interests</t>
        </is>
      </c>
      <c r="B25" s="35" t="n">
        <v>13</v>
      </c>
      <c r="C25" s="35" t="n">
        <v>15</v>
      </c>
      <c r="D25" s="35" t="n">
        <v>37</v>
      </c>
      <c r="E25" s="30">
        <f>AVERAGE(B25:D25)</f>
        <v/>
      </c>
      <c r="F25" s="30">
        <f>AVERAGE(C25:E25)</f>
        <v/>
      </c>
      <c r="G25" s="30">
        <f>AVERAGE(D25:F25)</f>
        <v/>
      </c>
      <c r="H25" s="30">
        <f>AVERAGE(E25:G25)</f>
        <v/>
      </c>
      <c r="I25" s="30">
        <f>AVERAGE(F25:H25)</f>
        <v/>
      </c>
    </row>
    <row r="26">
      <c r="A26" s="2" t="inlineStr">
        <is>
          <t>Profit attributable to owners of the Company</t>
        </is>
      </c>
      <c r="B26" s="41">
        <f>B24-B25</f>
        <v/>
      </c>
      <c r="C26" s="41">
        <f>C24-C25</f>
        <v/>
      </c>
      <c r="D26" s="41">
        <f>D24-D25</f>
        <v/>
      </c>
      <c r="E26" s="37">
        <f>E24-E25</f>
        <v/>
      </c>
      <c r="F26" s="37">
        <f>F24-F25</f>
        <v/>
      </c>
      <c r="G26" s="37">
        <f>G24-G25</f>
        <v/>
      </c>
      <c r="H26" s="37">
        <f>H24-H25</f>
        <v/>
      </c>
      <c r="I26" s="37">
        <f>I24-I25</f>
        <v/>
      </c>
    </row>
    <row r="27">
      <c r="A27" s="5" t="inlineStr">
        <is>
          <t>Other Comprehensive Income</t>
        </is>
      </c>
      <c r="B27" s="35" t="n">
        <v>514</v>
      </c>
      <c r="C27" s="35" t="n">
        <v>520</v>
      </c>
      <c r="D27" s="35" t="n">
        <v>459</v>
      </c>
      <c r="E27" s="42" t="n">
        <v>0</v>
      </c>
      <c r="F27" s="42" t="n">
        <v>0</v>
      </c>
      <c r="G27" s="42" t="n">
        <v>0</v>
      </c>
      <c r="H27" s="42" t="n">
        <v>0</v>
      </c>
      <c r="I27" s="42" t="n">
        <v>0</v>
      </c>
    </row>
    <row r="28">
      <c r="A28" s="2" t="inlineStr">
        <is>
          <t>Total Comprehensive Income</t>
        </is>
      </c>
      <c r="B28" s="40">
        <f>B24+B27</f>
        <v/>
      </c>
      <c r="C28" s="40">
        <f>C24+C27</f>
        <v/>
      </c>
      <c r="D28" s="40">
        <f>D24+D27</f>
        <v/>
      </c>
      <c r="E28" s="34">
        <f>E24+E27</f>
        <v/>
      </c>
      <c r="F28" s="34">
        <f>F24+F27</f>
        <v/>
      </c>
      <c r="G28" s="34">
        <f>G24+G27</f>
        <v/>
      </c>
      <c r="H28" s="34">
        <f>H24+H27</f>
        <v/>
      </c>
      <c r="I28" s="34">
        <f>I24+I27</f>
        <v/>
      </c>
    </row>
    <row r="29">
      <c r="A29" s="2" t="inlineStr">
        <is>
          <t>Number of Shares Issued (crore):</t>
        </is>
      </c>
    </row>
    <row r="30">
      <c r="A30" s="5" t="inlineStr">
        <is>
          <t>Basic</t>
        </is>
      </c>
      <c r="B30" s="43" t="n">
        <v>418.09</v>
      </c>
      <c r="C30" s="43" t="n">
        <v>413.857</v>
      </c>
      <c r="D30" s="43" t="n">
        <v>414.161</v>
      </c>
      <c r="E30" s="31">
        <f>D30</f>
        <v/>
      </c>
      <c r="F30" s="31">
        <f>E30</f>
        <v/>
      </c>
      <c r="G30" s="31">
        <f>F30</f>
        <v/>
      </c>
      <c r="H30" s="31">
        <f>G30</f>
        <v/>
      </c>
      <c r="I30" s="31">
        <f>H30</f>
        <v/>
      </c>
    </row>
    <row r="31">
      <c r="A31" s="5" t="inlineStr">
        <is>
          <t>Diluted</t>
        </is>
      </c>
      <c r="B31" s="43" t="n">
        <v>418.773</v>
      </c>
      <c r="C31" s="43" t="n">
        <v>414.468</v>
      </c>
      <c r="D31" s="43" t="n">
        <v>415.205</v>
      </c>
      <c r="E31" s="31">
        <f>D31</f>
        <v/>
      </c>
      <c r="F31" s="31">
        <f>E31</f>
        <v/>
      </c>
      <c r="G31" s="31">
        <f>F31</f>
        <v/>
      </c>
      <c r="H31" s="31">
        <f>G31</f>
        <v/>
      </c>
      <c r="I31" s="31">
        <f>H31</f>
        <v/>
      </c>
    </row>
    <row r="32">
      <c r="A32" s="2" t="inlineStr">
        <is>
          <t>Earnings per share - Basic (Rs)</t>
        </is>
      </c>
      <c r="B32" s="44">
        <f>B26/B30</f>
        <v/>
      </c>
      <c r="C32" s="44">
        <f>C26/C30</f>
        <v/>
      </c>
      <c r="D32" s="44">
        <f>D26/D30</f>
        <v/>
      </c>
      <c r="E32" s="45">
        <f>E26/E30</f>
        <v/>
      </c>
      <c r="F32" s="45">
        <f>F26/F30</f>
        <v/>
      </c>
      <c r="G32" s="45">
        <f>G26/G30</f>
        <v/>
      </c>
      <c r="H32" s="45">
        <f>H26/H30</f>
        <v/>
      </c>
      <c r="I32" s="45">
        <f>I26/I30</f>
        <v/>
      </c>
    </row>
    <row r="33">
      <c r="A33" s="5" t="inlineStr">
        <is>
          <t>Earnings per share - Diluted (Rs)</t>
        </is>
      </c>
      <c r="B33" s="46">
        <f>B26/B31</f>
        <v/>
      </c>
      <c r="C33" s="46">
        <f>C26/C31</f>
        <v/>
      </c>
      <c r="D33" s="46">
        <f>D26/D31</f>
        <v/>
      </c>
      <c r="E33" s="31">
        <f>E26/E31</f>
        <v/>
      </c>
      <c r="F33" s="31">
        <f>F26/F31</f>
        <v/>
      </c>
      <c r="G33" s="31">
        <f>G26/G31</f>
        <v/>
      </c>
      <c r="H33" s="31">
        <f>H26/H31</f>
        <v/>
      </c>
      <c r="I33" s="31">
        <f>I26/I31</f>
        <v/>
      </c>
    </row>
    <row r="34">
      <c r="A34" s="5" t="inlineStr">
        <is>
          <t>Dividends paid</t>
        </is>
      </c>
      <c r="B34" s="35" t="n">
        <v>13631</v>
      </c>
      <c r="C34" s="35" t="n">
        <v>14692</v>
      </c>
      <c r="D34" s="35" t="n">
        <v>20287</v>
      </c>
      <c r="E34" s="32">
        <f>E26*Assumptions!E27</f>
        <v/>
      </c>
      <c r="F34" s="32">
        <f>F26*Assumptions!F27</f>
        <v/>
      </c>
      <c r="G34" s="32">
        <f>G26*Assumptions!G27</f>
        <v/>
      </c>
      <c r="H34" s="32">
        <f>H26*Assumptions!H27</f>
        <v/>
      </c>
      <c r="I34" s="32">
        <f>I26*Assumptions!I27</f>
        <v/>
      </c>
    </row>
    <row r="36">
      <c r="A36" s="1" t="inlineStr">
        <is>
          <t>Common size Income Statement</t>
        </is>
      </c>
    </row>
    <row r="37">
      <c r="A37" s="18" t="inlineStr">
        <is>
          <t>Particulars</t>
        </is>
      </c>
      <c r="B37" s="19">
        <f>Assumptions!B5</f>
        <v/>
      </c>
      <c r="C37" s="19">
        <f>Assumptions!C5</f>
        <v/>
      </c>
      <c r="D37" s="19">
        <f>Assumptions!D5</f>
        <v/>
      </c>
      <c r="E37" s="19">
        <f>Assumptions!E5</f>
        <v/>
      </c>
      <c r="F37" s="19">
        <f>Assumptions!F5</f>
        <v/>
      </c>
      <c r="G37" s="19">
        <f>Assumptions!G5</f>
        <v/>
      </c>
      <c r="H37" s="19">
        <f>Assumptions!H5</f>
        <v/>
      </c>
      <c r="I37" s="19">
        <f>Assumptions!I5</f>
        <v/>
      </c>
    </row>
    <row r="38">
      <c r="A38" s="5" t="inlineStr">
        <is>
          <t>Revenue from Operations</t>
        </is>
      </c>
      <c r="B38" s="47">
        <f>B7/B$7</f>
        <v/>
      </c>
      <c r="C38" s="47">
        <f>C7/C$7</f>
        <v/>
      </c>
      <c r="D38" s="47">
        <f>D7/D$7</f>
        <v/>
      </c>
      <c r="E38" s="47">
        <f>E7/E$7</f>
        <v/>
      </c>
      <c r="F38" s="47">
        <f>F7/F$7</f>
        <v/>
      </c>
      <c r="G38" s="47">
        <f>G7/G$7</f>
        <v/>
      </c>
      <c r="H38" s="47">
        <f>H7/H$7</f>
        <v/>
      </c>
      <c r="I38" s="47">
        <f>I7/I$7</f>
        <v/>
      </c>
    </row>
    <row r="39">
      <c r="A39" s="5" t="inlineStr">
        <is>
          <t>Employee benefit expenses</t>
        </is>
      </c>
      <c r="B39" s="47">
        <f>B8/B$7</f>
        <v/>
      </c>
      <c r="C39" s="47">
        <f>C8/C$7</f>
        <v/>
      </c>
      <c r="D39" s="47">
        <f>D8/D$7</f>
        <v/>
      </c>
      <c r="E39" s="47">
        <f>E8/E$7</f>
        <v/>
      </c>
      <c r="F39" s="47">
        <f>F8/F$7</f>
        <v/>
      </c>
      <c r="G39" s="47">
        <f>G8/G$7</f>
        <v/>
      </c>
      <c r="H39" s="47">
        <f>H8/H$7</f>
        <v/>
      </c>
      <c r="I39" s="47">
        <f>I8/I$7</f>
        <v/>
      </c>
    </row>
    <row r="40">
      <c r="A40" s="5" t="inlineStr">
        <is>
          <t>Cost of technical sub-contractors</t>
        </is>
      </c>
      <c r="B40" s="47">
        <f>B9/B$7</f>
        <v/>
      </c>
      <c r="C40" s="47">
        <f>C9/C$7</f>
        <v/>
      </c>
      <c r="D40" s="47">
        <f>D9/D$7</f>
        <v/>
      </c>
      <c r="E40" s="47">
        <f>E9/E$7</f>
        <v/>
      </c>
      <c r="F40" s="47">
        <f>F9/F$7</f>
        <v/>
      </c>
      <c r="G40" s="47">
        <f>G9/G$7</f>
        <v/>
      </c>
      <c r="H40" s="47">
        <f>H9/H$7</f>
        <v/>
      </c>
      <c r="I40" s="47">
        <f>I9/I$7</f>
        <v/>
      </c>
    </row>
    <row r="41">
      <c r="A41" s="5" t="inlineStr">
        <is>
          <t>Travel expenses</t>
        </is>
      </c>
      <c r="B41" s="47">
        <f>B10/B$7</f>
        <v/>
      </c>
      <c r="C41" s="47">
        <f>C10/C$7</f>
        <v/>
      </c>
      <c r="D41" s="47">
        <f>D10/D$7</f>
        <v/>
      </c>
      <c r="E41" s="47">
        <f>E10/E$7</f>
        <v/>
      </c>
      <c r="F41" s="47">
        <f>F10/F$7</f>
        <v/>
      </c>
      <c r="G41" s="47">
        <f>G10/G$7</f>
        <v/>
      </c>
      <c r="H41" s="47">
        <f>H10/H$7</f>
        <v/>
      </c>
      <c r="I41" s="47">
        <f>I10/I$7</f>
        <v/>
      </c>
    </row>
    <row r="42">
      <c r="A42" s="5" t="inlineStr">
        <is>
          <t>Cost of software packages and others</t>
        </is>
      </c>
      <c r="B42" s="47">
        <f>B11/B$7</f>
        <v/>
      </c>
      <c r="C42" s="47">
        <f>C11/C$7</f>
        <v/>
      </c>
      <c r="D42" s="47">
        <f>D11/D$7</f>
        <v/>
      </c>
      <c r="E42" s="47">
        <f>E11/E$7</f>
        <v/>
      </c>
      <c r="F42" s="47">
        <f>F11/F$7</f>
        <v/>
      </c>
      <c r="G42" s="47">
        <f>G11/G$7</f>
        <v/>
      </c>
      <c r="H42" s="47">
        <f>H11/H$7</f>
        <v/>
      </c>
      <c r="I42" s="47">
        <f>I11/I$7</f>
        <v/>
      </c>
    </row>
    <row r="43">
      <c r="A43" s="5" t="inlineStr">
        <is>
          <t>Communication expenses</t>
        </is>
      </c>
      <c r="B43" s="47">
        <f>B12/B$7</f>
        <v/>
      </c>
      <c r="C43" s="47">
        <f>C12/C$7</f>
        <v/>
      </c>
      <c r="D43" s="47">
        <f>D12/D$7</f>
        <v/>
      </c>
      <c r="E43" s="47">
        <f>E12/E$7</f>
        <v/>
      </c>
      <c r="F43" s="47">
        <f>F12/F$7</f>
        <v/>
      </c>
      <c r="G43" s="47">
        <f>G12/G$7</f>
        <v/>
      </c>
      <c r="H43" s="47">
        <f>H12/H$7</f>
        <v/>
      </c>
      <c r="I43" s="47">
        <f>I12/I$7</f>
        <v/>
      </c>
    </row>
    <row r="44">
      <c r="A44" s="5" t="inlineStr">
        <is>
          <t>Consultancy and professional charges</t>
        </is>
      </c>
      <c r="B44" s="47">
        <f>B13/B$7</f>
        <v/>
      </c>
      <c r="C44" s="47">
        <f>C13/C$7</f>
        <v/>
      </c>
      <c r="D44" s="47">
        <f>D13/D$7</f>
        <v/>
      </c>
      <c r="E44" s="47">
        <f>E13/E$7</f>
        <v/>
      </c>
      <c r="F44" s="47">
        <f>F13/F$7</f>
        <v/>
      </c>
      <c r="G44" s="47">
        <f>G13/G$7</f>
        <v/>
      </c>
      <c r="H44" s="47">
        <f>H13/H$7</f>
        <v/>
      </c>
      <c r="I44" s="47">
        <f>I13/I$7</f>
        <v/>
      </c>
    </row>
    <row r="45">
      <c r="A45" s="5" t="inlineStr">
        <is>
          <t>Other expenses</t>
        </is>
      </c>
      <c r="B45" s="47">
        <f>B14/B$7</f>
        <v/>
      </c>
      <c r="C45" s="47">
        <f>C14/C$7</f>
        <v/>
      </c>
      <c r="D45" s="47">
        <f>D14/D$7</f>
        <v/>
      </c>
      <c r="E45" s="47">
        <f>E14/E$7</f>
        <v/>
      </c>
      <c r="F45" s="47">
        <f>F14/F$7</f>
        <v/>
      </c>
      <c r="G45" s="47">
        <f>G14/G$7</f>
        <v/>
      </c>
      <c r="H45" s="47">
        <f>H14/H$7</f>
        <v/>
      </c>
      <c r="I45" s="47">
        <f>I14/I$7</f>
        <v/>
      </c>
    </row>
    <row r="46">
      <c r="A46" s="5" t="inlineStr">
        <is>
          <t>Total Operating Expenditure</t>
        </is>
      </c>
      <c r="B46" s="47">
        <f>B15/B$7</f>
        <v/>
      </c>
      <c r="C46" s="47">
        <f>C15/C$7</f>
        <v/>
      </c>
      <c r="D46" s="47">
        <f>D15/D$7</f>
        <v/>
      </c>
      <c r="E46" s="47">
        <f>E15/E$7</f>
        <v/>
      </c>
      <c r="F46" s="47">
        <f>F15/F$7</f>
        <v/>
      </c>
      <c r="G46" s="47">
        <f>G15/G$7</f>
        <v/>
      </c>
      <c r="H46" s="47">
        <f>H15/H$7</f>
        <v/>
      </c>
      <c r="I46" s="47">
        <f>I15/I$7</f>
        <v/>
      </c>
    </row>
    <row r="47">
      <c r="A47" s="2" t="inlineStr">
        <is>
          <t>EBITDA</t>
        </is>
      </c>
      <c r="B47" s="48">
        <f>B16/B$7</f>
        <v/>
      </c>
      <c r="C47" s="48">
        <f>C16/C$7</f>
        <v/>
      </c>
      <c r="D47" s="48">
        <f>D16/D$7</f>
        <v/>
      </c>
      <c r="E47" s="48">
        <f>E16/E$7</f>
        <v/>
      </c>
      <c r="F47" s="48">
        <f>F16/F$7</f>
        <v/>
      </c>
      <c r="G47" s="48">
        <f>G16/G$7</f>
        <v/>
      </c>
      <c r="H47" s="48">
        <f>H16/H$7</f>
        <v/>
      </c>
      <c r="I47" s="48">
        <f>I16/I$7</f>
        <v/>
      </c>
    </row>
    <row r="48">
      <c r="A48" s="5" t="inlineStr">
        <is>
          <t>Depreciation &amp; Amortisation</t>
        </is>
      </c>
      <c r="B48" s="47">
        <f>B17/B$7</f>
        <v/>
      </c>
      <c r="C48" s="47">
        <f>C17/C$7</f>
        <v/>
      </c>
      <c r="D48" s="47">
        <f>D17/D$7</f>
        <v/>
      </c>
      <c r="E48" s="47">
        <f>E17/E$7</f>
        <v/>
      </c>
      <c r="F48" s="47">
        <f>F17/F$7</f>
        <v/>
      </c>
      <c r="G48" s="47">
        <f>G17/G$7</f>
        <v/>
      </c>
      <c r="H48" s="47">
        <f>H17/H$7</f>
        <v/>
      </c>
      <c r="I48" s="47">
        <f>I17/I$7</f>
        <v/>
      </c>
    </row>
    <row r="49">
      <c r="A49" s="2" t="inlineStr">
        <is>
          <t>EBIT</t>
        </is>
      </c>
      <c r="B49" s="48">
        <f>B18/B$7</f>
        <v/>
      </c>
      <c r="C49" s="48">
        <f>C18/C$7</f>
        <v/>
      </c>
      <c r="D49" s="48">
        <f>D18/D$7</f>
        <v/>
      </c>
      <c r="E49" s="48">
        <f>E18/E$7</f>
        <v/>
      </c>
      <c r="F49" s="48">
        <f>F18/F$7</f>
        <v/>
      </c>
      <c r="G49" s="48">
        <f>G18/G$7</f>
        <v/>
      </c>
      <c r="H49" s="48">
        <f>H18/H$7</f>
        <v/>
      </c>
      <c r="I49" s="48">
        <f>I18/I$7</f>
        <v/>
      </c>
    </row>
    <row r="50">
      <c r="A50" s="5" t="inlineStr">
        <is>
          <t>Other Income</t>
        </is>
      </c>
      <c r="B50" s="47">
        <f>B19/B$7</f>
        <v/>
      </c>
      <c r="C50" s="47">
        <f>C19/C$7</f>
        <v/>
      </c>
      <c r="D50" s="47">
        <f>D19/D$7</f>
        <v/>
      </c>
      <c r="E50" s="47">
        <f>E19/E$7</f>
        <v/>
      </c>
      <c r="F50" s="47">
        <f>F19/F$7</f>
        <v/>
      </c>
      <c r="G50" s="47">
        <f>G19/G$7</f>
        <v/>
      </c>
      <c r="H50" s="47">
        <f>H19/H$7</f>
        <v/>
      </c>
      <c r="I50" s="47">
        <f>I19/I$7</f>
        <v/>
      </c>
    </row>
    <row r="51">
      <c r="A51" s="5" t="inlineStr">
        <is>
          <t>Finance Cost</t>
        </is>
      </c>
      <c r="B51" s="47">
        <f>B20/B$7</f>
        <v/>
      </c>
      <c r="C51" s="47">
        <f>C20/C$7</f>
        <v/>
      </c>
      <c r="D51" s="47">
        <f>D20/D$7</f>
        <v/>
      </c>
      <c r="E51" s="47">
        <f>E20/E$7</f>
        <v/>
      </c>
      <c r="F51" s="47">
        <f>F20/F$7</f>
        <v/>
      </c>
      <c r="G51" s="47">
        <f>G20/G$7</f>
        <v/>
      </c>
      <c r="H51" s="47">
        <f>H20/H$7</f>
        <v/>
      </c>
      <c r="I51" s="47">
        <f>I20/I$7</f>
        <v/>
      </c>
    </row>
    <row r="52">
      <c r="A52" s="5" t="inlineStr">
        <is>
          <t>Profit before Tax</t>
        </is>
      </c>
      <c r="B52" s="47">
        <f>B21/B$7</f>
        <v/>
      </c>
      <c r="C52" s="47">
        <f>C21/C$7</f>
        <v/>
      </c>
      <c r="D52" s="47">
        <f>D21/D$7</f>
        <v/>
      </c>
      <c r="E52" s="47">
        <f>E21/E$7</f>
        <v/>
      </c>
      <c r="F52" s="47">
        <f>F21/F$7</f>
        <v/>
      </c>
      <c r="G52" s="47">
        <f>G21/G$7</f>
        <v/>
      </c>
      <c r="H52" s="47">
        <f>H21/H$7</f>
        <v/>
      </c>
      <c r="I52" s="47">
        <f>I21/I$7</f>
        <v/>
      </c>
    </row>
    <row r="53">
      <c r="A53" s="2" t="inlineStr">
        <is>
          <t>Profit after Tax</t>
        </is>
      </c>
      <c r="B53" s="48">
        <f>B24/B$7</f>
        <v/>
      </c>
      <c r="C53" s="48">
        <f>C24/C$7</f>
        <v/>
      </c>
      <c r="D53" s="48">
        <f>D24/D$7</f>
        <v/>
      </c>
      <c r="E53" s="48">
        <f>E24/E$7</f>
        <v/>
      </c>
      <c r="F53" s="48">
        <f>F24/F$7</f>
        <v/>
      </c>
      <c r="G53" s="48">
        <f>G24/G$7</f>
        <v/>
      </c>
      <c r="H53" s="48">
        <f>H24/H$7</f>
        <v/>
      </c>
      <c r="I53" s="48">
        <f>I24/I$7</f>
        <v/>
      </c>
    </row>
  </sheetData>
  <pageMargins left="0.75" right="0.75" top="1" bottom="1" header="0.5" footer="0.5"/>
</worksheet>
</file>

<file path=xl/worksheets/sheet5.xml><?xml version="1.0" encoding="utf-8"?>
<worksheet xmlns="http://schemas.openxmlformats.org/spreadsheetml/2006/main">
  <sheetPr>
    <tabColor rgb="004F81BD"/>
    <outlinePr summaryBelow="1" summaryRight="1"/>
    <pageSetUpPr/>
  </sheetPr>
  <dimension ref="A1:I8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 width="12.5" customWidth="1" min="15" max="15"/>
    <col width="12.5" customWidth="1" min="16" max="16"/>
  </cols>
  <sheetData>
    <row r="1">
      <c r="A1" s="1" t="inlineStr">
        <is>
          <t>Infosys Limited</t>
        </is>
      </c>
    </row>
    <row r="2">
      <c r="A2" s="2" t="inlineStr">
        <is>
          <t>Balance Sheet</t>
        </is>
      </c>
    </row>
    <row r="3">
      <c r="A3" s="3" t="inlineStr">
        <is>
          <t>(In INR Crores, unless otherwise stated)  |  Blue = reported / hard-coded input, Black = formula, yellow cells = forecast</t>
        </is>
      </c>
    </row>
    <row r="5">
      <c r="A5" s="18" t="inlineStr">
        <is>
          <t>Particular</t>
        </is>
      </c>
      <c r="B5" s="19">
        <f>Assumptions!B5</f>
        <v/>
      </c>
      <c r="C5" s="19">
        <f>Assumptions!C5</f>
        <v/>
      </c>
      <c r="D5" s="19">
        <f>Assumptions!D5</f>
        <v/>
      </c>
      <c r="E5" s="19">
        <f>Assumptions!E5</f>
        <v/>
      </c>
      <c r="F5" s="19">
        <f>Assumptions!F5</f>
        <v/>
      </c>
      <c r="G5" s="19">
        <f>Assumptions!G5</f>
        <v/>
      </c>
      <c r="H5" s="19">
        <f>Assumptions!H5</f>
        <v/>
      </c>
      <c r="I5" s="19">
        <f>Assumptions!I5</f>
        <v/>
      </c>
    </row>
    <row r="6">
      <c r="A6" s="26" t="inlineStr">
        <is>
          <t>Assets</t>
        </is>
      </c>
      <c r="B6" s="27" t="n"/>
      <c r="C6" s="27" t="n"/>
      <c r="D6" s="27" t="n"/>
      <c r="E6" s="27" t="n"/>
      <c r="F6" s="27" t="n"/>
      <c r="G6" s="27" t="n"/>
      <c r="H6" s="27" t="n"/>
      <c r="I6" s="27" t="n"/>
    </row>
    <row r="8">
      <c r="A8" s="2" t="inlineStr">
        <is>
          <t>Cash and Cash Equivalents</t>
        </is>
      </c>
      <c r="B8" s="38" t="n">
        <v>12173</v>
      </c>
      <c r="C8" s="38" t="n">
        <v>14786</v>
      </c>
      <c r="D8" s="38" t="n">
        <v>24455</v>
      </c>
      <c r="E8" s="39">
        <f>CFS!E38</f>
        <v/>
      </c>
      <c r="F8" s="39">
        <f>CFS!F38</f>
        <v/>
      </c>
      <c r="G8" s="39">
        <f>CFS!G38</f>
        <v/>
      </c>
      <c r="H8" s="39">
        <f>CFS!H38</f>
        <v/>
      </c>
      <c r="I8" s="39">
        <f>CFS!I38</f>
        <v/>
      </c>
    </row>
    <row r="9">
      <c r="A9" s="5" t="inlineStr">
        <is>
          <t>Current Investments</t>
        </is>
      </c>
      <c r="B9" s="35" t="n">
        <v>6909</v>
      </c>
      <c r="C9" s="35" t="n">
        <v>12915</v>
      </c>
      <c r="D9" s="35" t="n">
        <v>12482</v>
      </c>
      <c r="E9" s="30">
        <f>D9</f>
        <v/>
      </c>
      <c r="F9" s="30">
        <f>E9</f>
        <v/>
      </c>
      <c r="G9" s="30">
        <f>F9</f>
        <v/>
      </c>
      <c r="H9" s="30">
        <f>G9</f>
        <v/>
      </c>
      <c r="I9" s="30">
        <f>H9</f>
        <v/>
      </c>
    </row>
    <row r="10">
      <c r="A10" s="5" t="inlineStr">
        <is>
          <t>Trade Receivables</t>
        </is>
      </c>
      <c r="B10" s="35" t="n">
        <v>25424</v>
      </c>
      <c r="C10" s="35" t="n">
        <v>30193</v>
      </c>
      <c r="D10" s="35" t="n">
        <v>31158</v>
      </c>
      <c r="E10" s="32">
        <f>'Income Statement'!E7/Assumptions!E20</f>
        <v/>
      </c>
      <c r="F10" s="32">
        <f>'Income Statement'!F7/Assumptions!F20</f>
        <v/>
      </c>
      <c r="G10" s="32">
        <f>'Income Statement'!G7/Assumptions!G20</f>
        <v/>
      </c>
      <c r="H10" s="32">
        <f>'Income Statement'!H7/Assumptions!H20</f>
        <v/>
      </c>
      <c r="I10" s="32">
        <f>'Income Statement'!I7/Assumptions!I20</f>
        <v/>
      </c>
    </row>
    <row r="11">
      <c r="A11" s="5" t="inlineStr">
        <is>
          <t>Loans (current)</t>
        </is>
      </c>
      <c r="B11" s="35" t="n">
        <v>289</v>
      </c>
      <c r="C11" s="35" t="n">
        <v>248</v>
      </c>
      <c r="D11" s="35" t="n">
        <v>249</v>
      </c>
      <c r="E11" s="30">
        <f>D11</f>
        <v/>
      </c>
      <c r="F11" s="30">
        <f>E11</f>
        <v/>
      </c>
      <c r="G11" s="30">
        <f>F11</f>
        <v/>
      </c>
      <c r="H11" s="30">
        <f>G11</f>
        <v/>
      </c>
      <c r="I11" s="30">
        <f>H11</f>
        <v/>
      </c>
    </row>
    <row r="12">
      <c r="A12" s="5" t="inlineStr">
        <is>
          <t>Other Financial Assets (current)</t>
        </is>
      </c>
      <c r="B12" s="35" t="n">
        <v>11604</v>
      </c>
      <c r="C12" s="35" t="n">
        <v>12085</v>
      </c>
      <c r="D12" s="35" t="n">
        <v>13840</v>
      </c>
      <c r="E12" s="32">
        <f>'Income Statement'!E7/Assumptions!E21</f>
        <v/>
      </c>
      <c r="F12" s="32">
        <f>'Income Statement'!F7/Assumptions!F21</f>
        <v/>
      </c>
      <c r="G12" s="32">
        <f>'Income Statement'!G7/Assumptions!G21</f>
        <v/>
      </c>
      <c r="H12" s="32">
        <f>'Income Statement'!H7/Assumptions!H21</f>
        <v/>
      </c>
      <c r="I12" s="32">
        <f>'Income Statement'!I7/Assumptions!I21</f>
        <v/>
      </c>
    </row>
    <row r="13">
      <c r="A13" s="5" t="inlineStr">
        <is>
          <t>Income Tax Assets (current)</t>
        </is>
      </c>
      <c r="B13" s="35" t="n">
        <v>6</v>
      </c>
      <c r="C13" s="35" t="n">
        <v>6397</v>
      </c>
      <c r="D13" s="35" t="n">
        <v>2975</v>
      </c>
      <c r="E13" s="30">
        <f>D13</f>
        <v/>
      </c>
      <c r="F13" s="30">
        <f>E13</f>
        <v/>
      </c>
      <c r="G13" s="30">
        <f>F13</f>
        <v/>
      </c>
      <c r="H13" s="30">
        <f>G13</f>
        <v/>
      </c>
      <c r="I13" s="30">
        <f>H13</f>
        <v/>
      </c>
    </row>
    <row r="14">
      <c r="A14" s="5" t="inlineStr">
        <is>
          <t>Other Current Assets</t>
        </is>
      </c>
      <c r="B14" s="35" t="n">
        <v>14476</v>
      </c>
      <c r="C14" s="35" t="n">
        <v>12808</v>
      </c>
      <c r="D14" s="35" t="n">
        <v>11940</v>
      </c>
      <c r="E14" s="32">
        <f>'Income Statement'!E7/Assumptions!E22</f>
        <v/>
      </c>
      <c r="F14" s="32">
        <f>'Income Statement'!F7/Assumptions!F22</f>
        <v/>
      </c>
      <c r="G14" s="32">
        <f>'Income Statement'!G7/Assumptions!G22</f>
        <v/>
      </c>
      <c r="H14" s="32">
        <f>'Income Statement'!H7/Assumptions!H22</f>
        <v/>
      </c>
      <c r="I14" s="32">
        <f>'Income Statement'!I7/Assumptions!I22</f>
        <v/>
      </c>
    </row>
    <row r="15">
      <c r="A15" s="2" t="inlineStr">
        <is>
          <t>Total Current Assets</t>
        </is>
      </c>
      <c r="B15" s="40">
        <f>SUM(B8:B14)</f>
        <v/>
      </c>
      <c r="C15" s="40">
        <f>SUM(C8:C14)</f>
        <v/>
      </c>
      <c r="D15" s="40">
        <f>SUM(D8:D14)</f>
        <v/>
      </c>
      <c r="E15" s="34">
        <f>SUM(E8:E14)</f>
        <v/>
      </c>
      <c r="F15" s="34">
        <f>SUM(F8:F14)</f>
        <v/>
      </c>
      <c r="G15" s="34">
        <f>SUM(G8:G14)</f>
        <v/>
      </c>
      <c r="H15" s="34">
        <f>SUM(H8:H14)</f>
        <v/>
      </c>
      <c r="I15" s="34">
        <f>SUM(I8:I14)</f>
        <v/>
      </c>
    </row>
    <row r="17">
      <c r="A17" s="5" t="inlineStr">
        <is>
          <t>PPE, Net</t>
        </is>
      </c>
      <c r="B17" s="35" t="n">
        <v>13346</v>
      </c>
      <c r="C17" s="35" t="n">
        <v>12370</v>
      </c>
      <c r="D17" s="35" t="n">
        <v>11778</v>
      </c>
      <c r="E17" s="32">
        <f>Assumptions!E43</f>
        <v/>
      </c>
      <c r="F17" s="32">
        <f>Assumptions!F43</f>
        <v/>
      </c>
      <c r="G17" s="32">
        <f>Assumptions!G43</f>
        <v/>
      </c>
      <c r="H17" s="32">
        <f>Assumptions!H43</f>
        <v/>
      </c>
      <c r="I17" s="32">
        <f>Assumptions!I43</f>
        <v/>
      </c>
    </row>
    <row r="18">
      <c r="A18" s="5" t="inlineStr">
        <is>
          <t>Right-of-use Assets</t>
        </is>
      </c>
      <c r="B18" s="35" t="n">
        <v>6882</v>
      </c>
      <c r="C18" s="35" t="n">
        <v>6552</v>
      </c>
      <c r="D18" s="35" t="n">
        <v>6311</v>
      </c>
      <c r="E18" s="32">
        <f>Assumptions!E49</f>
        <v/>
      </c>
      <c r="F18" s="32">
        <f>Assumptions!F49</f>
        <v/>
      </c>
      <c r="G18" s="32">
        <f>Assumptions!G49</f>
        <v/>
      </c>
      <c r="H18" s="32">
        <f>Assumptions!H49</f>
        <v/>
      </c>
      <c r="I18" s="32">
        <f>Assumptions!I49</f>
        <v/>
      </c>
    </row>
    <row r="19">
      <c r="A19" s="5" t="inlineStr">
        <is>
          <t>Capital Work-In-Progress</t>
        </is>
      </c>
      <c r="B19" s="35" t="n">
        <v>288</v>
      </c>
      <c r="C19" s="35" t="n">
        <v>293</v>
      </c>
      <c r="D19" s="35" t="n">
        <v>814</v>
      </c>
      <c r="E19" s="30">
        <f>D19</f>
        <v/>
      </c>
      <c r="F19" s="30">
        <f>E19</f>
        <v/>
      </c>
      <c r="G19" s="30">
        <f>F19</f>
        <v/>
      </c>
      <c r="H19" s="30">
        <f>G19</f>
        <v/>
      </c>
      <c r="I19" s="30">
        <f>H19</f>
        <v/>
      </c>
    </row>
    <row r="20">
      <c r="A20" s="5" t="inlineStr">
        <is>
          <t>Goodwill</t>
        </is>
      </c>
      <c r="B20" s="35" t="n">
        <v>7248</v>
      </c>
      <c r="C20" s="35" t="n">
        <v>7303</v>
      </c>
      <c r="D20" s="35" t="n">
        <v>10106</v>
      </c>
      <c r="E20" s="30">
        <f>D20</f>
        <v/>
      </c>
      <c r="F20" s="30">
        <f>E20</f>
        <v/>
      </c>
      <c r="G20" s="30">
        <f>F20</f>
        <v/>
      </c>
      <c r="H20" s="30">
        <f>G20</f>
        <v/>
      </c>
      <c r="I20" s="30">
        <f>H20</f>
        <v/>
      </c>
    </row>
    <row r="21">
      <c r="A21" s="5" t="inlineStr">
        <is>
          <t>Other Intangible Assets</t>
        </is>
      </c>
      <c r="B21" s="35" t="n">
        <v>1749</v>
      </c>
      <c r="C21" s="35" t="n">
        <v>1397</v>
      </c>
      <c r="D21" s="35" t="n">
        <v>2766</v>
      </c>
      <c r="E21" s="32">
        <f>Assumptions!E55</f>
        <v/>
      </c>
      <c r="F21" s="32">
        <f>Assumptions!F55</f>
        <v/>
      </c>
      <c r="G21" s="32">
        <f>Assumptions!G55</f>
        <v/>
      </c>
      <c r="H21" s="32">
        <f>Assumptions!H55</f>
        <v/>
      </c>
      <c r="I21" s="32">
        <f>Assumptions!I55</f>
        <v/>
      </c>
    </row>
    <row r="22">
      <c r="A22" s="5" t="inlineStr">
        <is>
          <t>Long-Term Investments</t>
        </is>
      </c>
      <c r="B22" s="35" t="n">
        <v>12569</v>
      </c>
      <c r="C22" s="35" t="n">
        <v>11708</v>
      </c>
      <c r="D22" s="35" t="n">
        <v>11059</v>
      </c>
      <c r="E22" s="30">
        <f>D22</f>
        <v/>
      </c>
      <c r="F22" s="30">
        <f>E22</f>
        <v/>
      </c>
      <c r="G22" s="30">
        <f>F22</f>
        <v/>
      </c>
      <c r="H22" s="30">
        <f>G22</f>
        <v/>
      </c>
      <c r="I22" s="30">
        <f>H22</f>
        <v/>
      </c>
    </row>
    <row r="23">
      <c r="A23" s="5" t="inlineStr">
        <is>
          <t>Long-Term Loans</t>
        </is>
      </c>
      <c r="B23" s="35" t="n">
        <v>39</v>
      </c>
      <c r="C23" s="35" t="n">
        <v>34</v>
      </c>
      <c r="D23" s="35" t="n">
        <v>16</v>
      </c>
      <c r="E23" s="30">
        <f>D23</f>
        <v/>
      </c>
      <c r="F23" s="30">
        <f>E23</f>
        <v/>
      </c>
      <c r="G23" s="30">
        <f>F23</f>
        <v/>
      </c>
      <c r="H23" s="30">
        <f>G23</f>
        <v/>
      </c>
      <c r="I23" s="30">
        <f>H23</f>
        <v/>
      </c>
    </row>
    <row r="24">
      <c r="A24" s="5" t="inlineStr">
        <is>
          <t>Other Financial Assets (non-current)</t>
        </is>
      </c>
      <c r="B24" s="35" t="n">
        <v>2798</v>
      </c>
      <c r="C24" s="35" t="n">
        <v>3105</v>
      </c>
      <c r="D24" s="35" t="n">
        <v>3511</v>
      </c>
      <c r="E24" s="30">
        <f>D24</f>
        <v/>
      </c>
      <c r="F24" s="30">
        <f>E24</f>
        <v/>
      </c>
      <c r="G24" s="30">
        <f>F24</f>
        <v/>
      </c>
      <c r="H24" s="30">
        <f>G24</f>
        <v/>
      </c>
      <c r="I24" s="30">
        <f>H24</f>
        <v/>
      </c>
    </row>
    <row r="25">
      <c r="A25" s="5" t="inlineStr">
        <is>
          <t>Deferred Tax Assets (Net)</t>
        </is>
      </c>
      <c r="B25" s="35" t="n">
        <v>1245</v>
      </c>
      <c r="C25" s="35" t="n">
        <v>454</v>
      </c>
      <c r="D25" s="35" t="n">
        <v>1108</v>
      </c>
      <c r="E25" s="30">
        <f>D25</f>
        <v/>
      </c>
      <c r="F25" s="30">
        <f>E25</f>
        <v/>
      </c>
      <c r="G25" s="30">
        <f>F25</f>
        <v/>
      </c>
      <c r="H25" s="30">
        <f>G25</f>
        <v/>
      </c>
      <c r="I25" s="30">
        <f>H25</f>
        <v/>
      </c>
    </row>
    <row r="26">
      <c r="A26" s="5" t="inlineStr">
        <is>
          <t>Income Tax Assets (non-current)</t>
        </is>
      </c>
      <c r="B26" s="35" t="n">
        <v>6453</v>
      </c>
      <c r="C26" s="35" t="n">
        <v>3045</v>
      </c>
      <c r="D26" s="35" t="n">
        <v>1622</v>
      </c>
      <c r="E26" s="30">
        <f>D26</f>
        <v/>
      </c>
      <c r="F26" s="30">
        <f>E26</f>
        <v/>
      </c>
      <c r="G26" s="30">
        <f>F26</f>
        <v/>
      </c>
      <c r="H26" s="30">
        <f>G26</f>
        <v/>
      </c>
      <c r="I26" s="30">
        <f>H26</f>
        <v/>
      </c>
    </row>
    <row r="27">
      <c r="A27" s="5" t="inlineStr">
        <is>
          <t>Other Non Current Assets</t>
        </is>
      </c>
      <c r="B27" s="35" t="n">
        <v>2318</v>
      </c>
      <c r="C27" s="35" t="n">
        <v>2121</v>
      </c>
      <c r="D27" s="35" t="n">
        <v>2713</v>
      </c>
      <c r="E27" s="30">
        <f>D27</f>
        <v/>
      </c>
      <c r="F27" s="30">
        <f>E27</f>
        <v/>
      </c>
      <c r="G27" s="30">
        <f>F27</f>
        <v/>
      </c>
      <c r="H27" s="30">
        <f>G27</f>
        <v/>
      </c>
      <c r="I27" s="30">
        <f>H27</f>
        <v/>
      </c>
    </row>
    <row r="28">
      <c r="A28" s="2" t="inlineStr">
        <is>
          <t>Total Non-Current Assets</t>
        </is>
      </c>
      <c r="B28" s="40">
        <f>SUM(B17:B27)</f>
        <v/>
      </c>
      <c r="C28" s="40">
        <f>SUM(C17:C27)</f>
        <v/>
      </c>
      <c r="D28" s="40">
        <f>SUM(D17:D27)</f>
        <v/>
      </c>
      <c r="E28" s="34">
        <f>SUM(E17:E27)</f>
        <v/>
      </c>
      <c r="F28" s="34">
        <f>SUM(F17:F27)</f>
        <v/>
      </c>
      <c r="G28" s="34">
        <f>SUM(G17:G27)</f>
        <v/>
      </c>
      <c r="H28" s="34">
        <f>SUM(H17:H27)</f>
        <v/>
      </c>
      <c r="I28" s="34">
        <f>SUM(I17:I27)</f>
        <v/>
      </c>
    </row>
    <row r="30">
      <c r="A30" s="2" t="inlineStr">
        <is>
          <t>Total Assets</t>
        </is>
      </c>
      <c r="B30" s="40">
        <f>B15+B28</f>
        <v/>
      </c>
      <c r="C30" s="40">
        <f>C15+C28</f>
        <v/>
      </c>
      <c r="D30" s="40">
        <f>D15+D28</f>
        <v/>
      </c>
      <c r="E30" s="34">
        <f>E15+E28</f>
        <v/>
      </c>
      <c r="F30" s="34">
        <f>F15+F28</f>
        <v/>
      </c>
      <c r="G30" s="34">
        <f>G15+G28</f>
        <v/>
      </c>
      <c r="H30" s="34">
        <f>H15+H28</f>
        <v/>
      </c>
      <c r="I30" s="34">
        <f>I15+I28</f>
        <v/>
      </c>
    </row>
    <row r="32">
      <c r="A32" s="26" t="inlineStr">
        <is>
          <t>LIABILITIES &amp; EQUITY</t>
        </is>
      </c>
      <c r="B32" s="27" t="n"/>
      <c r="C32" s="27" t="n"/>
      <c r="D32" s="27" t="n"/>
      <c r="E32" s="27" t="n"/>
      <c r="F32" s="27" t="n"/>
      <c r="G32" s="27" t="n"/>
      <c r="H32" s="27" t="n"/>
      <c r="I32" s="27" t="n"/>
    </row>
    <row r="33">
      <c r="A33" s="5" t="inlineStr">
        <is>
          <t>Accounts Payable</t>
        </is>
      </c>
      <c r="B33" s="35" t="n">
        <v>3865</v>
      </c>
      <c r="C33" s="35" t="n">
        <v>3956</v>
      </c>
      <c r="D33" s="35" t="n">
        <v>4164</v>
      </c>
      <c r="E33" s="32">
        <f>'Income Statement'!E7/Assumptions!E23</f>
        <v/>
      </c>
      <c r="F33" s="32">
        <f>'Income Statement'!F7/Assumptions!F23</f>
        <v/>
      </c>
      <c r="G33" s="32">
        <f>'Income Statement'!G7/Assumptions!G23</f>
        <v/>
      </c>
      <c r="H33" s="32">
        <f>'Income Statement'!H7/Assumptions!H23</f>
        <v/>
      </c>
      <c r="I33" s="32">
        <f>'Income Statement'!I7/Assumptions!I23</f>
        <v/>
      </c>
    </row>
    <row r="34">
      <c r="A34" s="5" t="inlineStr">
        <is>
          <t>Lease Liabilities (current)</t>
        </is>
      </c>
      <c r="B34" s="35" t="n">
        <v>1242</v>
      </c>
      <c r="C34" s="35" t="n">
        <v>1959</v>
      </c>
      <c r="D34" s="35" t="n">
        <v>2455</v>
      </c>
      <c r="E34" s="32">
        <f>Assumptions!E65</f>
        <v/>
      </c>
      <c r="F34" s="32">
        <f>Assumptions!F65</f>
        <v/>
      </c>
      <c r="G34" s="32">
        <f>Assumptions!G65</f>
        <v/>
      </c>
      <c r="H34" s="32">
        <f>Assumptions!H65</f>
        <v/>
      </c>
      <c r="I34" s="32">
        <f>Assumptions!I65</f>
        <v/>
      </c>
    </row>
    <row r="35">
      <c r="A35" s="5" t="inlineStr">
        <is>
          <t>Other Financial Liabilities (current)</t>
        </is>
      </c>
      <c r="B35" s="35" t="n">
        <v>18558</v>
      </c>
      <c r="C35" s="35" t="n">
        <v>16959</v>
      </c>
      <c r="D35" s="35" t="n">
        <v>18138</v>
      </c>
      <c r="E35" s="32">
        <f>'Income Statement'!E7/Assumptions!E24</f>
        <v/>
      </c>
      <c r="F35" s="32">
        <f>'Income Statement'!F7/Assumptions!F24</f>
        <v/>
      </c>
      <c r="G35" s="32">
        <f>'Income Statement'!G7/Assumptions!G24</f>
        <v/>
      </c>
      <c r="H35" s="32">
        <f>'Income Statement'!H7/Assumptions!H24</f>
        <v/>
      </c>
      <c r="I35" s="32">
        <f>'Income Statement'!I7/Assumptions!I24</f>
        <v/>
      </c>
    </row>
    <row r="36">
      <c r="A36" s="5" t="inlineStr">
        <is>
          <t>Other Current Liabilities</t>
        </is>
      </c>
      <c r="B36" s="35" t="n">
        <v>10830</v>
      </c>
      <c r="C36" s="35" t="n">
        <v>10539</v>
      </c>
      <c r="D36" s="35" t="n">
        <v>11765</v>
      </c>
      <c r="E36" s="32">
        <f>'Income Statement'!E7/Assumptions!E25</f>
        <v/>
      </c>
      <c r="F36" s="32">
        <f>'Income Statement'!F7/Assumptions!F25</f>
        <v/>
      </c>
      <c r="G36" s="32">
        <f>'Income Statement'!G7/Assumptions!G25</f>
        <v/>
      </c>
      <c r="H36" s="32">
        <f>'Income Statement'!H7/Assumptions!H25</f>
        <v/>
      </c>
      <c r="I36" s="32">
        <f>'Income Statement'!I7/Assumptions!I25</f>
        <v/>
      </c>
    </row>
    <row r="37">
      <c r="A37" s="5" t="inlineStr">
        <is>
          <t>Provisions</t>
        </is>
      </c>
      <c r="B37" s="35" t="n">
        <v>1307</v>
      </c>
      <c r="C37" s="35" t="n">
        <v>1796</v>
      </c>
      <c r="D37" s="35" t="n">
        <v>1475</v>
      </c>
      <c r="E37" s="32">
        <f>'Income Statement'!E7/Assumptions!E26</f>
        <v/>
      </c>
      <c r="F37" s="32">
        <f>'Income Statement'!F7/Assumptions!F26</f>
        <v/>
      </c>
      <c r="G37" s="32">
        <f>'Income Statement'!G7/Assumptions!G26</f>
        <v/>
      </c>
      <c r="H37" s="32">
        <f>'Income Statement'!H7/Assumptions!H26</f>
        <v/>
      </c>
      <c r="I37" s="32">
        <f>'Income Statement'!I7/Assumptions!I26</f>
        <v/>
      </c>
    </row>
    <row r="38">
      <c r="A38" s="5" t="inlineStr">
        <is>
          <t>Income Tax Liabilities (net)</t>
        </is>
      </c>
      <c r="B38" s="35" t="n">
        <v>3384</v>
      </c>
      <c r="C38" s="35" t="n">
        <v>3585</v>
      </c>
      <c r="D38" s="35" t="n">
        <v>4853</v>
      </c>
      <c r="E38" s="30">
        <f>D38</f>
        <v/>
      </c>
      <c r="F38" s="30">
        <f>E38</f>
        <v/>
      </c>
      <c r="G38" s="30">
        <f>F38</f>
        <v/>
      </c>
      <c r="H38" s="30">
        <f>G38</f>
        <v/>
      </c>
      <c r="I38" s="30">
        <f>H38</f>
        <v/>
      </c>
    </row>
    <row r="39">
      <c r="A39" s="2" t="inlineStr">
        <is>
          <t>Total Current Liabilities</t>
        </is>
      </c>
      <c r="B39" s="40">
        <f>SUM(B33:B38)</f>
        <v/>
      </c>
      <c r="C39" s="40">
        <f>SUM(C33:C38)</f>
        <v/>
      </c>
      <c r="D39" s="40">
        <f>SUM(D33:D38)</f>
        <v/>
      </c>
      <c r="E39" s="34">
        <f>SUM(E33:E38)</f>
        <v/>
      </c>
      <c r="F39" s="34">
        <f>SUM(F33:F38)</f>
        <v/>
      </c>
      <c r="G39" s="34">
        <f>SUM(G33:G38)</f>
        <v/>
      </c>
      <c r="H39" s="34">
        <f>SUM(H33:H38)</f>
        <v/>
      </c>
      <c r="I39" s="34">
        <f>SUM(I33:I38)</f>
        <v/>
      </c>
    </row>
    <row r="41">
      <c r="A41" s="5" t="inlineStr">
        <is>
          <t>Lease Liabilities (non-current)</t>
        </is>
      </c>
      <c r="B41" s="35" t="n">
        <v>7057</v>
      </c>
      <c r="C41" s="35" t="n">
        <v>6400</v>
      </c>
      <c r="D41" s="35" t="n">
        <v>5772</v>
      </c>
      <c r="E41" s="32">
        <f>Assumptions!E66</f>
        <v/>
      </c>
      <c r="F41" s="32">
        <f>Assumptions!F66</f>
        <v/>
      </c>
      <c r="G41" s="32">
        <f>Assumptions!G66</f>
        <v/>
      </c>
      <c r="H41" s="32">
        <f>Assumptions!H66</f>
        <v/>
      </c>
      <c r="I41" s="32">
        <f>Assumptions!I66</f>
        <v/>
      </c>
    </row>
    <row r="42">
      <c r="A42" s="5" t="inlineStr">
        <is>
          <t>Other Financial Liabilities (non-current)</t>
        </is>
      </c>
      <c r="B42" s="35" t="n">
        <v>2058</v>
      </c>
      <c r="C42" s="35" t="n">
        <v>2130</v>
      </c>
      <c r="D42" s="35" t="n">
        <v>2141</v>
      </c>
      <c r="E42" s="30">
        <f>D42</f>
        <v/>
      </c>
      <c r="F42" s="30">
        <f>E42</f>
        <v/>
      </c>
      <c r="G42" s="30">
        <f>F42</f>
        <v/>
      </c>
      <c r="H42" s="30">
        <f>G42</f>
        <v/>
      </c>
      <c r="I42" s="30">
        <f>H42</f>
        <v/>
      </c>
    </row>
    <row r="43">
      <c r="A43" s="5" t="inlineStr">
        <is>
          <t>Deferred Tax Liabilities (Net)</t>
        </is>
      </c>
      <c r="B43" s="35" t="n">
        <v>1220</v>
      </c>
      <c r="C43" s="35" t="n">
        <v>1794</v>
      </c>
      <c r="D43" s="35" t="n">
        <v>1722</v>
      </c>
      <c r="E43" s="30">
        <f>D43</f>
        <v/>
      </c>
      <c r="F43" s="30">
        <f>E43</f>
        <v/>
      </c>
      <c r="G43" s="30">
        <f>F43</f>
        <v/>
      </c>
      <c r="H43" s="30">
        <f>G43</f>
        <v/>
      </c>
      <c r="I43" s="30">
        <f>H43</f>
        <v/>
      </c>
    </row>
    <row r="44">
      <c r="A44" s="5" t="inlineStr">
        <is>
          <t>Other Non-Current Liabilities</t>
        </is>
      </c>
      <c r="B44" s="35" t="n">
        <v>500</v>
      </c>
      <c r="C44" s="35" t="n">
        <v>235</v>
      </c>
      <c r="D44" s="35" t="n">
        <v>215</v>
      </c>
      <c r="E44" s="30">
        <f>D44</f>
        <v/>
      </c>
      <c r="F44" s="30">
        <f>E44</f>
        <v/>
      </c>
      <c r="G44" s="30">
        <f>F44</f>
        <v/>
      </c>
      <c r="H44" s="30">
        <f>G44</f>
        <v/>
      </c>
      <c r="I44" s="30">
        <f>H44</f>
        <v/>
      </c>
    </row>
    <row r="45">
      <c r="A45" s="2" t="inlineStr">
        <is>
          <t>Total Non-Current Liabilities</t>
        </is>
      </c>
      <c r="B45" s="40">
        <f>SUM(B41:B44)</f>
        <v/>
      </c>
      <c r="C45" s="40">
        <f>SUM(C41:C44)</f>
        <v/>
      </c>
      <c r="D45" s="40">
        <f>SUM(D41:D44)</f>
        <v/>
      </c>
      <c r="E45" s="34">
        <f>SUM(E41:E44)</f>
        <v/>
      </c>
      <c r="F45" s="34">
        <f>SUM(F41:F44)</f>
        <v/>
      </c>
      <c r="G45" s="34">
        <f>SUM(G41:G44)</f>
        <v/>
      </c>
      <c r="H45" s="34">
        <f>SUM(H41:H44)</f>
        <v/>
      </c>
      <c r="I45" s="34">
        <f>SUM(I41:I44)</f>
        <v/>
      </c>
    </row>
    <row r="46">
      <c r="A46" s="2" t="inlineStr">
        <is>
          <t>Total Liabilities</t>
        </is>
      </c>
      <c r="B46" s="40">
        <f>B39+B45</f>
        <v/>
      </c>
      <c r="C46" s="40">
        <f>C39+C45</f>
        <v/>
      </c>
      <c r="D46" s="40">
        <f>D39+D45</f>
        <v/>
      </c>
      <c r="E46" s="34">
        <f>E39+E45</f>
        <v/>
      </c>
      <c r="F46" s="34">
        <f>F39+F45</f>
        <v/>
      </c>
      <c r="G46" s="34">
        <f>G39+G45</f>
        <v/>
      </c>
      <c r="H46" s="34">
        <f>H39+H45</f>
        <v/>
      </c>
      <c r="I46" s="34">
        <f>I39+I45</f>
        <v/>
      </c>
    </row>
    <row r="48">
      <c r="A48" s="2" t="inlineStr">
        <is>
          <t>Shareholder's Equity:</t>
        </is>
      </c>
    </row>
    <row r="49">
      <c r="A49" s="5" t="inlineStr">
        <is>
          <t>Share Capital</t>
        </is>
      </c>
      <c r="B49" s="35" t="n">
        <v>2069</v>
      </c>
      <c r="C49" s="35" t="n">
        <v>2071</v>
      </c>
      <c r="D49" s="35" t="n">
        <v>2073</v>
      </c>
      <c r="E49" s="30">
        <f>D49</f>
        <v/>
      </c>
      <c r="F49" s="30">
        <f>E49</f>
        <v/>
      </c>
      <c r="G49" s="30">
        <f>F49</f>
        <v/>
      </c>
      <c r="H49" s="30">
        <f>G49</f>
        <v/>
      </c>
      <c r="I49" s="30">
        <f>H49</f>
        <v/>
      </c>
    </row>
    <row r="50">
      <c r="A50" s="5" t="inlineStr">
        <is>
          <t>Reserves And Surplus (Other Equity)</t>
        </is>
      </c>
      <c r="B50" s="35" t="n">
        <v>73338</v>
      </c>
      <c r="C50" s="35" t="n">
        <v>86045</v>
      </c>
      <c r="D50" s="35" t="n">
        <v>93745</v>
      </c>
      <c r="E50" s="32">
        <f>D50+'Income Statement'!E26-'Income Statement'!E34+'Income Statement'!E27</f>
        <v/>
      </c>
      <c r="F50" s="32">
        <f>E50+'Income Statement'!F26-'Income Statement'!F34+'Income Statement'!F27</f>
        <v/>
      </c>
      <c r="G50" s="32">
        <f>F50+'Income Statement'!G26-'Income Statement'!G34+'Income Statement'!G27</f>
        <v/>
      </c>
      <c r="H50" s="32">
        <f>G50+'Income Statement'!H26-'Income Statement'!H34+'Income Statement'!H27</f>
        <v/>
      </c>
      <c r="I50" s="32">
        <f>H50+'Income Statement'!I26-'Income Statement'!I34+'Income Statement'!I27</f>
        <v/>
      </c>
    </row>
    <row r="51">
      <c r="A51" s="2" t="inlineStr">
        <is>
          <t>Total Shareholder's Equity</t>
        </is>
      </c>
      <c r="B51" s="40">
        <f>B49+B50</f>
        <v/>
      </c>
      <c r="C51" s="40">
        <f>C49+C50</f>
        <v/>
      </c>
      <c r="D51" s="40">
        <f>D49+D50</f>
        <v/>
      </c>
      <c r="E51" s="34">
        <f>E49+E50</f>
        <v/>
      </c>
      <c r="F51" s="34">
        <f>F49+F50</f>
        <v/>
      </c>
      <c r="G51" s="34">
        <f>G49+G50</f>
        <v/>
      </c>
      <c r="H51" s="34">
        <f>H49+H50</f>
        <v/>
      </c>
      <c r="I51" s="34">
        <f>I49+I50</f>
        <v/>
      </c>
    </row>
    <row r="52">
      <c r="A52" s="5" t="inlineStr">
        <is>
          <t>Minority Interest</t>
        </is>
      </c>
      <c r="B52" s="35" t="n">
        <v>388</v>
      </c>
      <c r="C52" s="35" t="n">
        <v>345</v>
      </c>
      <c r="D52" s="35" t="n">
        <v>385</v>
      </c>
      <c r="E52" s="32">
        <f>D52+'Income Statement'!E25</f>
        <v/>
      </c>
      <c r="F52" s="32">
        <f>E52+'Income Statement'!F25</f>
        <v/>
      </c>
      <c r="G52" s="32">
        <f>F52+'Income Statement'!G25</f>
        <v/>
      </c>
      <c r="H52" s="32">
        <f>G52+'Income Statement'!H25</f>
        <v/>
      </c>
      <c r="I52" s="32">
        <f>H52+'Income Statement'!I25</f>
        <v/>
      </c>
    </row>
    <row r="53">
      <c r="A53" s="2" t="inlineStr">
        <is>
          <t>Total Equity</t>
        </is>
      </c>
      <c r="B53" s="41">
        <f>B51+B52</f>
        <v/>
      </c>
      <c r="C53" s="41">
        <f>C51+C52</f>
        <v/>
      </c>
      <c r="D53" s="41">
        <f>D51+D52</f>
        <v/>
      </c>
      <c r="E53" s="37">
        <f>E51+E52</f>
        <v/>
      </c>
      <c r="F53" s="37">
        <f>F51+F52</f>
        <v/>
      </c>
      <c r="G53" s="37">
        <f>G51+G52</f>
        <v/>
      </c>
      <c r="H53" s="37">
        <f>H51+H52</f>
        <v/>
      </c>
      <c r="I53" s="37">
        <f>I51+I52</f>
        <v/>
      </c>
    </row>
    <row r="54">
      <c r="A54" s="2" t="inlineStr">
        <is>
          <t>Total Liabilities And Equity</t>
        </is>
      </c>
      <c r="B54" s="40">
        <f>B46+B53</f>
        <v/>
      </c>
      <c r="C54" s="40">
        <f>C46+C53</f>
        <v/>
      </c>
      <c r="D54" s="40">
        <f>D46+D53</f>
        <v/>
      </c>
      <c r="E54" s="34">
        <f>E46+E53</f>
        <v/>
      </c>
      <c r="F54" s="34">
        <f>F46+F53</f>
        <v/>
      </c>
      <c r="G54" s="34">
        <f>G46+G53</f>
        <v/>
      </c>
      <c r="H54" s="34">
        <f>H46+H53</f>
        <v/>
      </c>
      <c r="I54" s="34">
        <f>I46+I53</f>
        <v/>
      </c>
    </row>
    <row r="55">
      <c r="A55" s="5" t="inlineStr">
        <is>
          <t>Balance check (Assets - Liabilities &amp; Equity)  -&gt; should be 0</t>
        </is>
      </c>
      <c r="B55" s="49">
        <f>ROUND(B30-B54,0)</f>
        <v/>
      </c>
      <c r="C55" s="49">
        <f>ROUND(C30-C54,0)</f>
        <v/>
      </c>
      <c r="D55" s="49">
        <f>ROUND(D30-D54,0)</f>
        <v/>
      </c>
      <c r="E55" s="49">
        <f>ROUND(E30-E54,0)</f>
        <v/>
      </c>
      <c r="F55" s="49">
        <f>ROUND(F30-F54,0)</f>
        <v/>
      </c>
      <c r="G55" s="49">
        <f>ROUND(G30-G54,0)</f>
        <v/>
      </c>
      <c r="H55" s="49">
        <f>ROUND(H30-H54,0)</f>
        <v/>
      </c>
      <c r="I55" s="49">
        <f>ROUND(I30-I54,0)</f>
        <v/>
      </c>
    </row>
    <row r="58">
      <c r="A58" s="1" t="inlineStr">
        <is>
          <t>COMMON SIZE BALANCE SHEET (% of total assets)</t>
        </is>
      </c>
    </row>
    <row r="59">
      <c r="A59" s="18" t="inlineStr">
        <is>
          <t>Particulars</t>
        </is>
      </c>
      <c r="B59" s="19">
        <f>Assumptions!B5</f>
        <v/>
      </c>
      <c r="C59" s="19">
        <f>Assumptions!C5</f>
        <v/>
      </c>
      <c r="D59" s="19">
        <f>Assumptions!D5</f>
        <v/>
      </c>
      <c r="E59" s="19">
        <f>Assumptions!E5</f>
        <v/>
      </c>
      <c r="F59" s="19">
        <f>Assumptions!F5</f>
        <v/>
      </c>
      <c r="G59" s="19">
        <f>Assumptions!G5</f>
        <v/>
      </c>
      <c r="H59" s="19">
        <f>Assumptions!H5</f>
        <v/>
      </c>
      <c r="I59" s="19">
        <f>Assumptions!I5</f>
        <v/>
      </c>
    </row>
    <row r="60">
      <c r="A60" s="5" t="inlineStr">
        <is>
          <t>Cash And Cash Equivalents</t>
        </is>
      </c>
      <c r="B60" s="47">
        <f>B8/B$30</f>
        <v/>
      </c>
      <c r="C60" s="47">
        <f>C8/C$30</f>
        <v/>
      </c>
      <c r="D60" s="47">
        <f>D8/D$30</f>
        <v/>
      </c>
      <c r="E60" s="47">
        <f>E8/E$30</f>
        <v/>
      </c>
      <c r="F60" s="47">
        <f>F8/F$30</f>
        <v/>
      </c>
      <c r="G60" s="47">
        <f>G8/G$30</f>
        <v/>
      </c>
      <c r="H60" s="47">
        <f>H8/H$30</f>
        <v/>
      </c>
      <c r="I60" s="47">
        <f>I8/I$30</f>
        <v/>
      </c>
    </row>
    <row r="61">
      <c r="A61" s="5" t="inlineStr">
        <is>
          <t>Current Investments</t>
        </is>
      </c>
      <c r="B61" s="47">
        <f>B9/B$30</f>
        <v/>
      </c>
      <c r="C61" s="47">
        <f>C9/C$30</f>
        <v/>
      </c>
      <c r="D61" s="47">
        <f>D9/D$30</f>
        <v/>
      </c>
      <c r="E61" s="47">
        <f>E9/E$30</f>
        <v/>
      </c>
      <c r="F61" s="47">
        <f>F9/F$30</f>
        <v/>
      </c>
      <c r="G61" s="47">
        <f>G9/G$30</f>
        <v/>
      </c>
      <c r="H61" s="47">
        <f>H9/H$30</f>
        <v/>
      </c>
      <c r="I61" s="47">
        <f>I9/I$30</f>
        <v/>
      </c>
    </row>
    <row r="62">
      <c r="A62" s="5" t="inlineStr">
        <is>
          <t>Trade Receivables</t>
        </is>
      </c>
      <c r="B62" s="47">
        <f>B10/B$30</f>
        <v/>
      </c>
      <c r="C62" s="47">
        <f>C10/C$30</f>
        <v/>
      </c>
      <c r="D62" s="47">
        <f>D10/D$30</f>
        <v/>
      </c>
      <c r="E62" s="47">
        <f>E10/E$30</f>
        <v/>
      </c>
      <c r="F62" s="47">
        <f>F10/F$30</f>
        <v/>
      </c>
      <c r="G62" s="47">
        <f>G10/G$30</f>
        <v/>
      </c>
      <c r="H62" s="47">
        <f>H10/H$30</f>
        <v/>
      </c>
      <c r="I62" s="47">
        <f>I10/I$30</f>
        <v/>
      </c>
    </row>
    <row r="63">
      <c r="A63" s="5" t="inlineStr">
        <is>
          <t>Other Financial Assets (current)</t>
        </is>
      </c>
      <c r="B63" s="47">
        <f>B12/B$30</f>
        <v/>
      </c>
      <c r="C63" s="47">
        <f>C12/C$30</f>
        <v/>
      </c>
      <c r="D63" s="47">
        <f>D12/D$30</f>
        <v/>
      </c>
      <c r="E63" s="47">
        <f>E12/E$30</f>
        <v/>
      </c>
      <c r="F63" s="47">
        <f>F12/F$30</f>
        <v/>
      </c>
      <c r="G63" s="47">
        <f>G12/G$30</f>
        <v/>
      </c>
      <c r="H63" s="47">
        <f>H12/H$30</f>
        <v/>
      </c>
      <c r="I63" s="47">
        <f>I12/I$30</f>
        <v/>
      </c>
    </row>
    <row r="64">
      <c r="A64" s="5" t="inlineStr">
        <is>
          <t>Other Current Assets</t>
        </is>
      </c>
      <c r="B64" s="47">
        <f>B14/B$30</f>
        <v/>
      </c>
      <c r="C64" s="47">
        <f>C14/C$30</f>
        <v/>
      </c>
      <c r="D64" s="47">
        <f>D14/D$30</f>
        <v/>
      </c>
      <c r="E64" s="47">
        <f>E14/E$30</f>
        <v/>
      </c>
      <c r="F64" s="47">
        <f>F14/F$30</f>
        <v/>
      </c>
      <c r="G64" s="47">
        <f>G14/G$30</f>
        <v/>
      </c>
      <c r="H64" s="47">
        <f>H14/H$30</f>
        <v/>
      </c>
      <c r="I64" s="47">
        <f>I14/I$30</f>
        <v/>
      </c>
    </row>
    <row r="65">
      <c r="A65" s="2" t="inlineStr">
        <is>
          <t>Total Current Assets</t>
        </is>
      </c>
      <c r="B65" s="48">
        <f>B15/B$30</f>
        <v/>
      </c>
      <c r="C65" s="48">
        <f>C15/C$30</f>
        <v/>
      </c>
      <c r="D65" s="48">
        <f>D15/D$30</f>
        <v/>
      </c>
      <c r="E65" s="48">
        <f>E15/E$30</f>
        <v/>
      </c>
      <c r="F65" s="48">
        <f>F15/F$30</f>
        <v/>
      </c>
      <c r="G65" s="48">
        <f>G15/G$30</f>
        <v/>
      </c>
      <c r="H65" s="48">
        <f>H15/H$30</f>
        <v/>
      </c>
      <c r="I65" s="48">
        <f>I15/I$30</f>
        <v/>
      </c>
    </row>
    <row r="66">
      <c r="A66" s="5" t="inlineStr">
        <is>
          <t>PPE, Net</t>
        </is>
      </c>
      <c r="B66" s="47">
        <f>B17/B$30</f>
        <v/>
      </c>
      <c r="C66" s="47">
        <f>C17/C$30</f>
        <v/>
      </c>
      <c r="D66" s="47">
        <f>D17/D$30</f>
        <v/>
      </c>
      <c r="E66" s="47">
        <f>E17/E$30</f>
        <v/>
      </c>
      <c r="F66" s="47">
        <f>F17/F$30</f>
        <v/>
      </c>
      <c r="G66" s="47">
        <f>G17/G$30</f>
        <v/>
      </c>
      <c r="H66" s="47">
        <f>H17/H$30</f>
        <v/>
      </c>
      <c r="I66" s="47">
        <f>I17/I$30</f>
        <v/>
      </c>
    </row>
    <row r="67">
      <c r="A67" s="5" t="inlineStr">
        <is>
          <t>Right-of-use Assets</t>
        </is>
      </c>
      <c r="B67" s="47">
        <f>B18/B$30</f>
        <v/>
      </c>
      <c r="C67" s="47">
        <f>C18/C$30</f>
        <v/>
      </c>
      <c r="D67" s="47">
        <f>D18/D$30</f>
        <v/>
      </c>
      <c r="E67" s="47">
        <f>E18/E$30</f>
        <v/>
      </c>
      <c r="F67" s="47">
        <f>F18/F$30</f>
        <v/>
      </c>
      <c r="G67" s="47">
        <f>G18/G$30</f>
        <v/>
      </c>
      <c r="H67" s="47">
        <f>H18/H$30</f>
        <v/>
      </c>
      <c r="I67" s="47">
        <f>I18/I$30</f>
        <v/>
      </c>
    </row>
    <row r="68">
      <c r="A68" s="5" t="inlineStr">
        <is>
          <t>Goodwill</t>
        </is>
      </c>
      <c r="B68" s="47">
        <f>B20/B$30</f>
        <v/>
      </c>
      <c r="C68" s="47">
        <f>C20/C$30</f>
        <v/>
      </c>
      <c r="D68" s="47">
        <f>D20/D$30</f>
        <v/>
      </c>
      <c r="E68" s="47">
        <f>E20/E$30</f>
        <v/>
      </c>
      <c r="F68" s="47">
        <f>F20/F$30</f>
        <v/>
      </c>
      <c r="G68" s="47">
        <f>G20/G$30</f>
        <v/>
      </c>
      <c r="H68" s="47">
        <f>H20/H$30</f>
        <v/>
      </c>
      <c r="I68" s="47">
        <f>I20/I$30</f>
        <v/>
      </c>
    </row>
    <row r="69">
      <c r="A69" s="5" t="inlineStr">
        <is>
          <t>Other Intangible Assets</t>
        </is>
      </c>
      <c r="B69" s="47">
        <f>B21/B$30</f>
        <v/>
      </c>
      <c r="C69" s="47">
        <f>C21/C$30</f>
        <v/>
      </c>
      <c r="D69" s="47">
        <f>D21/D$30</f>
        <v/>
      </c>
      <c r="E69" s="47">
        <f>E21/E$30</f>
        <v/>
      </c>
      <c r="F69" s="47">
        <f>F21/F$30</f>
        <v/>
      </c>
      <c r="G69" s="47">
        <f>G21/G$30</f>
        <v/>
      </c>
      <c r="H69" s="47">
        <f>H21/H$30</f>
        <v/>
      </c>
      <c r="I69" s="47">
        <f>I21/I$30</f>
        <v/>
      </c>
    </row>
    <row r="70">
      <c r="A70" s="5" t="inlineStr">
        <is>
          <t>Long-Term Investments</t>
        </is>
      </c>
      <c r="B70" s="47">
        <f>B22/B$30</f>
        <v/>
      </c>
      <c r="C70" s="47">
        <f>C22/C$30</f>
        <v/>
      </c>
      <c r="D70" s="47">
        <f>D22/D$30</f>
        <v/>
      </c>
      <c r="E70" s="47">
        <f>E22/E$30</f>
        <v/>
      </c>
      <c r="F70" s="47">
        <f>F22/F$30</f>
        <v/>
      </c>
      <c r="G70" s="47">
        <f>G22/G$30</f>
        <v/>
      </c>
      <c r="H70" s="47">
        <f>H22/H$30</f>
        <v/>
      </c>
      <c r="I70" s="47">
        <f>I22/I$30</f>
        <v/>
      </c>
    </row>
    <row r="71">
      <c r="A71" s="2" t="inlineStr">
        <is>
          <t>Total Non-Current Assets</t>
        </is>
      </c>
      <c r="B71" s="48">
        <f>B28/B$30</f>
        <v/>
      </c>
      <c r="C71" s="48">
        <f>C28/C$30</f>
        <v/>
      </c>
      <c r="D71" s="48">
        <f>D28/D$30</f>
        <v/>
      </c>
      <c r="E71" s="48">
        <f>E28/E$30</f>
        <v/>
      </c>
      <c r="F71" s="48">
        <f>F28/F$30</f>
        <v/>
      </c>
      <c r="G71" s="48">
        <f>G28/G$30</f>
        <v/>
      </c>
      <c r="H71" s="48">
        <f>H28/H$30</f>
        <v/>
      </c>
      <c r="I71" s="48">
        <f>I28/I$30</f>
        <v/>
      </c>
    </row>
    <row r="72">
      <c r="A72" s="2" t="inlineStr">
        <is>
          <t>Total Assets</t>
        </is>
      </c>
      <c r="B72" s="48">
        <f>B30/B$30</f>
        <v/>
      </c>
      <c r="C72" s="48">
        <f>C30/C$30</f>
        <v/>
      </c>
      <c r="D72" s="48">
        <f>D30/D$30</f>
        <v/>
      </c>
      <c r="E72" s="48">
        <f>E30/E$30</f>
        <v/>
      </c>
      <c r="F72" s="48">
        <f>F30/F$30</f>
        <v/>
      </c>
      <c r="G72" s="48">
        <f>G30/G$30</f>
        <v/>
      </c>
      <c r="H72" s="48">
        <f>H30/H$30</f>
        <v/>
      </c>
      <c r="I72" s="48">
        <f>I30/I$30</f>
        <v/>
      </c>
    </row>
    <row r="73">
      <c r="A73" s="5" t="inlineStr">
        <is>
          <t>Accounts Payable</t>
        </is>
      </c>
      <c r="B73" s="47">
        <f>B33/B$30</f>
        <v/>
      </c>
      <c r="C73" s="47">
        <f>C33/C$30</f>
        <v/>
      </c>
      <c r="D73" s="47">
        <f>D33/D$30</f>
        <v/>
      </c>
      <c r="E73" s="47">
        <f>E33/E$30</f>
        <v/>
      </c>
      <c r="F73" s="47">
        <f>F33/F$30</f>
        <v/>
      </c>
      <c r="G73" s="47">
        <f>G33/G$30</f>
        <v/>
      </c>
      <c r="H73" s="47">
        <f>H33/H$30</f>
        <v/>
      </c>
      <c r="I73" s="47">
        <f>I33/I$30</f>
        <v/>
      </c>
    </row>
    <row r="74">
      <c r="A74" s="5" t="inlineStr">
        <is>
          <t>Other Financial Liabilities (current)</t>
        </is>
      </c>
      <c r="B74" s="47">
        <f>B35/B$30</f>
        <v/>
      </c>
      <c r="C74" s="47">
        <f>C35/C$30</f>
        <v/>
      </c>
      <c r="D74" s="47">
        <f>D35/D$30</f>
        <v/>
      </c>
      <c r="E74" s="47">
        <f>E35/E$30</f>
        <v/>
      </c>
      <c r="F74" s="47">
        <f>F35/F$30</f>
        <v/>
      </c>
      <c r="G74" s="47">
        <f>G35/G$30</f>
        <v/>
      </c>
      <c r="H74" s="47">
        <f>H35/H$30</f>
        <v/>
      </c>
      <c r="I74" s="47">
        <f>I35/I$30</f>
        <v/>
      </c>
    </row>
    <row r="75">
      <c r="A75" s="5" t="inlineStr">
        <is>
          <t>Other Current Liabilities</t>
        </is>
      </c>
      <c r="B75" s="47">
        <f>B36/B$30</f>
        <v/>
      </c>
      <c r="C75" s="47">
        <f>C36/C$30</f>
        <v/>
      </c>
      <c r="D75" s="47">
        <f>D36/D$30</f>
        <v/>
      </c>
      <c r="E75" s="47">
        <f>E36/E$30</f>
        <v/>
      </c>
      <c r="F75" s="47">
        <f>F36/F$30</f>
        <v/>
      </c>
      <c r="G75" s="47">
        <f>G36/G$30</f>
        <v/>
      </c>
      <c r="H75" s="47">
        <f>H36/H$30</f>
        <v/>
      </c>
      <c r="I75" s="47">
        <f>I36/I$30</f>
        <v/>
      </c>
    </row>
    <row r="76">
      <c r="A76" s="5" t="inlineStr">
        <is>
          <t>Total Current Liabilities</t>
        </is>
      </c>
      <c r="B76" s="47">
        <f>B39/B$30</f>
        <v/>
      </c>
      <c r="C76" s="47">
        <f>C39/C$30</f>
        <v/>
      </c>
      <c r="D76" s="47">
        <f>D39/D$30</f>
        <v/>
      </c>
      <c r="E76" s="47">
        <f>E39/E$30</f>
        <v/>
      </c>
      <c r="F76" s="47">
        <f>F39/F$30</f>
        <v/>
      </c>
      <c r="G76" s="47">
        <f>G39/G$30</f>
        <v/>
      </c>
      <c r="H76" s="47">
        <f>H39/H$30</f>
        <v/>
      </c>
      <c r="I76" s="47">
        <f>I39/I$30</f>
        <v/>
      </c>
    </row>
    <row r="77">
      <c r="A77" s="5" t="inlineStr">
        <is>
          <t>Total Non-Current Liabilities</t>
        </is>
      </c>
      <c r="B77" s="47">
        <f>B45/B$30</f>
        <v/>
      </c>
      <c r="C77" s="47">
        <f>C45/C$30</f>
        <v/>
      </c>
      <c r="D77" s="47">
        <f>D45/D$30</f>
        <v/>
      </c>
      <c r="E77" s="47">
        <f>E45/E$30</f>
        <v/>
      </c>
      <c r="F77" s="47">
        <f>F45/F$30</f>
        <v/>
      </c>
      <c r="G77" s="47">
        <f>G45/G$30</f>
        <v/>
      </c>
      <c r="H77" s="47">
        <f>H45/H$30</f>
        <v/>
      </c>
      <c r="I77" s="47">
        <f>I45/I$30</f>
        <v/>
      </c>
    </row>
    <row r="78">
      <c r="A78" s="2" t="inlineStr">
        <is>
          <t>Total Liabilities</t>
        </is>
      </c>
      <c r="B78" s="48">
        <f>B46/B$30</f>
        <v/>
      </c>
      <c r="C78" s="48">
        <f>C46/C$30</f>
        <v/>
      </c>
      <c r="D78" s="48">
        <f>D46/D$30</f>
        <v/>
      </c>
      <c r="E78" s="48">
        <f>E46/E$30</f>
        <v/>
      </c>
      <c r="F78" s="48">
        <f>F46/F$30</f>
        <v/>
      </c>
      <c r="G78" s="48">
        <f>G46/G$30</f>
        <v/>
      </c>
      <c r="H78" s="48">
        <f>H46/H$30</f>
        <v/>
      </c>
      <c r="I78" s="48">
        <f>I46/I$30</f>
        <v/>
      </c>
    </row>
    <row r="79">
      <c r="A79" s="5" t="inlineStr">
        <is>
          <t>Total Shareholder's Equity</t>
        </is>
      </c>
      <c r="B79" s="47">
        <f>B51/B$30</f>
        <v/>
      </c>
      <c r="C79" s="47">
        <f>C51/C$30</f>
        <v/>
      </c>
      <c r="D79" s="47">
        <f>D51/D$30</f>
        <v/>
      </c>
      <c r="E79" s="47">
        <f>E51/E$30</f>
        <v/>
      </c>
      <c r="F79" s="47">
        <f>F51/F$30</f>
        <v/>
      </c>
      <c r="G79" s="47">
        <f>G51/G$30</f>
        <v/>
      </c>
      <c r="H79" s="47">
        <f>H51/H$30</f>
        <v/>
      </c>
      <c r="I79" s="47">
        <f>I51/I$30</f>
        <v/>
      </c>
    </row>
    <row r="80">
      <c r="A80" s="2" t="inlineStr">
        <is>
          <t>Total Equity</t>
        </is>
      </c>
      <c r="B80" s="48">
        <f>B53/B$30</f>
        <v/>
      </c>
      <c r="C80" s="48">
        <f>C53/C$30</f>
        <v/>
      </c>
      <c r="D80" s="48">
        <f>D53/D$30</f>
        <v/>
      </c>
      <c r="E80" s="48">
        <f>E53/E$30</f>
        <v/>
      </c>
      <c r="F80" s="48">
        <f>F53/F$30</f>
        <v/>
      </c>
      <c r="G80" s="48">
        <f>G53/G$30</f>
        <v/>
      </c>
      <c r="H80" s="48">
        <f>H53/H$30</f>
        <v/>
      </c>
      <c r="I80" s="48">
        <f>I53/I$30</f>
        <v/>
      </c>
    </row>
    <row r="81">
      <c r="A81" s="2" t="inlineStr">
        <is>
          <t>Total Liabilities And Equity</t>
        </is>
      </c>
      <c r="B81" s="48">
        <f>B54/B$30</f>
        <v/>
      </c>
      <c r="C81" s="48">
        <f>C54/C$30</f>
        <v/>
      </c>
      <c r="D81" s="48">
        <f>D54/D$30</f>
        <v/>
      </c>
      <c r="E81" s="48">
        <f>E54/E$30</f>
        <v/>
      </c>
      <c r="F81" s="48">
        <f>F54/F$30</f>
        <v/>
      </c>
      <c r="G81" s="48">
        <f>G54/G$30</f>
        <v/>
      </c>
      <c r="H81" s="48">
        <f>H54/H$30</f>
        <v/>
      </c>
      <c r="I81" s="48">
        <f>I54/I$30</f>
        <v/>
      </c>
    </row>
  </sheetData>
  <pageMargins left="0.75" right="0.75" top="1" bottom="1" header="0.5" footer="0.5"/>
</worksheet>
</file>

<file path=xl/worksheets/sheet6.xml><?xml version="1.0" encoding="utf-8"?>
<worksheet xmlns="http://schemas.openxmlformats.org/spreadsheetml/2006/main">
  <sheetPr>
    <tabColor rgb="004F81BD"/>
    <outlinePr summaryBelow="1" summaryRight="1"/>
    <pageSetUpPr/>
  </sheetPr>
  <dimension ref="A1:K4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 width="12.5" customWidth="1" min="15" max="15"/>
    <col width="12.5" customWidth="1" min="16" max="16"/>
  </cols>
  <sheetData>
    <row r="1">
      <c r="A1" s="1" t="inlineStr">
        <is>
          <t>Infosys Limited</t>
        </is>
      </c>
    </row>
    <row r="2">
      <c r="A2" s="2" t="inlineStr">
        <is>
          <t>Cash Flow Statement</t>
        </is>
      </c>
    </row>
    <row r="3">
      <c r="A3" s="3" t="inlineStr">
        <is>
          <t>(In INR Crores, unless otherwise stated)  |  Blue = reported / hard-coded input, Black = formula, yellow cells = forecast</t>
        </is>
      </c>
    </row>
    <row r="5">
      <c r="A5" s="18" t="inlineStr">
        <is>
          <t>Particular</t>
        </is>
      </c>
      <c r="B5" s="19">
        <f>Assumptions!B5</f>
        <v/>
      </c>
      <c r="C5" s="19">
        <f>Assumptions!C5</f>
        <v/>
      </c>
      <c r="D5" s="19">
        <f>Assumptions!D5</f>
        <v/>
      </c>
      <c r="E5" s="19">
        <f>Assumptions!E5</f>
        <v/>
      </c>
      <c r="F5" s="19">
        <f>Assumptions!F5</f>
        <v/>
      </c>
      <c r="G5" s="19">
        <f>Assumptions!G5</f>
        <v/>
      </c>
      <c r="H5" s="19">
        <f>Assumptions!H5</f>
        <v/>
      </c>
      <c r="I5" s="19">
        <f>Assumptions!I5</f>
        <v/>
      </c>
    </row>
    <row r="6">
      <c r="A6" s="26" t="inlineStr">
        <is>
          <t>Cash Flows From Operating Activities:</t>
        </is>
      </c>
      <c r="B6" s="27" t="n"/>
      <c r="C6" s="27" t="n"/>
      <c r="D6" s="27" t="n"/>
      <c r="E6" s="27" t="n"/>
      <c r="F6" s="27" t="n"/>
      <c r="G6" s="27" t="n"/>
      <c r="H6" s="27" t="n"/>
      <c r="I6" s="27" t="n"/>
    </row>
    <row r="7">
      <c r="A7" s="2" t="inlineStr">
        <is>
          <t>Profit Before Tax</t>
        </is>
      </c>
      <c r="B7" s="38" t="n">
        <v>33322</v>
      </c>
      <c r="C7" s="38" t="n">
        <v>35988</v>
      </c>
      <c r="D7" s="38" t="n">
        <v>37608</v>
      </c>
      <c r="E7" s="39">
        <f>'Income Statement'!E21</f>
        <v/>
      </c>
      <c r="F7" s="39">
        <f>'Income Statement'!F21</f>
        <v/>
      </c>
      <c r="G7" s="39">
        <f>'Income Statement'!G21</f>
        <v/>
      </c>
      <c r="H7" s="39">
        <f>'Income Statement'!H21</f>
        <v/>
      </c>
      <c r="I7" s="39">
        <f>'Income Statement'!I21</f>
        <v/>
      </c>
    </row>
    <row r="8">
      <c r="A8" s="5" t="inlineStr">
        <is>
          <t>Depreciation &amp; Amortization</t>
        </is>
      </c>
      <c r="B8" s="35" t="n">
        <v>4225</v>
      </c>
      <c r="C8" s="35" t="n">
        <v>4678</v>
      </c>
      <c r="D8" s="35" t="n">
        <v>4812</v>
      </c>
      <c r="E8" s="32">
        <f>'Income Statement'!E17</f>
        <v/>
      </c>
      <c r="F8" s="32">
        <f>'Income Statement'!F17</f>
        <v/>
      </c>
      <c r="G8" s="32">
        <f>'Income Statement'!G17</f>
        <v/>
      </c>
      <c r="H8" s="32">
        <f>'Income Statement'!H17</f>
        <v/>
      </c>
      <c r="I8" s="32">
        <f>'Income Statement'!I17</f>
        <v/>
      </c>
    </row>
    <row r="9">
      <c r="A9" s="5" t="inlineStr">
        <is>
          <t>Interest and Dividend Income (shown in investing)</t>
        </is>
      </c>
      <c r="B9" s="35" t="n">
        <v>-1817</v>
      </c>
      <c r="C9" s="35" t="n">
        <v>-2067</v>
      </c>
      <c r="D9" s="35" t="n">
        <v>-2570</v>
      </c>
      <c r="E9" s="32">
        <f>-'Income Statement'!E19</f>
        <v/>
      </c>
      <c r="F9" s="32">
        <f>-'Income Statement'!F19</f>
        <v/>
      </c>
      <c r="G9" s="32">
        <f>-'Income Statement'!G19</f>
        <v/>
      </c>
      <c r="H9" s="32">
        <f>-'Income Statement'!H19</f>
        <v/>
      </c>
      <c r="I9" s="32">
        <f>-'Income Statement'!I19</f>
        <v/>
      </c>
    </row>
    <row r="10">
      <c r="A10" s="5" t="inlineStr">
        <is>
          <t>Finance Cost (paid within lease payments)</t>
        </is>
      </c>
      <c r="B10" s="35" t="n">
        <v>284</v>
      </c>
      <c r="C10" s="35" t="n">
        <v>470</v>
      </c>
      <c r="D10" s="35" t="n">
        <v>416</v>
      </c>
      <c r="E10" s="32">
        <f>'Income Statement'!E20</f>
        <v/>
      </c>
      <c r="F10" s="32">
        <f>'Income Statement'!F20</f>
        <v/>
      </c>
      <c r="G10" s="32">
        <f>'Income Statement'!G20</f>
        <v/>
      </c>
      <c r="H10" s="32">
        <f>'Income Statement'!H20</f>
        <v/>
      </c>
      <c r="I10" s="32">
        <f>'Income Statement'!I20</f>
        <v/>
      </c>
    </row>
    <row r="11">
      <c r="A11" s="5" t="inlineStr">
        <is>
          <t>Stock Compensation Expense</t>
        </is>
      </c>
      <c r="B11" s="35" t="n">
        <v>519</v>
      </c>
      <c r="C11" s="35" t="n">
        <v>652</v>
      </c>
      <c r="D11" s="35" t="n">
        <v>802</v>
      </c>
      <c r="E11" s="42" t="n">
        <v>0</v>
      </c>
      <c r="F11" s="42" t="n">
        <v>0</v>
      </c>
      <c r="G11" s="42" t="n">
        <v>0</v>
      </c>
      <c r="H11" s="42" t="n">
        <v>0</v>
      </c>
      <c r="I11" s="42" t="n">
        <v>0</v>
      </c>
      <c r="K11" s="3" t="inlineStr">
        <is>
          <t>Not added back in forecast: treated as a cash-like cost</t>
        </is>
      </c>
    </row>
    <row r="12">
      <c r="A12" s="5" t="inlineStr">
        <is>
          <t>Other Adjustments (ECL, FX, tax-refund interest, other)</t>
        </is>
      </c>
      <c r="B12" s="35" t="n">
        <v>1072</v>
      </c>
      <c r="C12" s="35" t="n">
        <v>-198</v>
      </c>
      <c r="D12" s="35" t="n">
        <v>523</v>
      </c>
      <c r="E12" s="42" t="n">
        <v>0</v>
      </c>
      <c r="F12" s="42" t="n">
        <v>0</v>
      </c>
      <c r="G12" s="42" t="n">
        <v>0</v>
      </c>
      <c r="H12" s="42" t="n">
        <v>0</v>
      </c>
      <c r="I12" s="42" t="n">
        <v>0</v>
      </c>
    </row>
    <row r="13">
      <c r="A13" s="5" t="inlineStr">
        <is>
          <t>(Increase) / Decrease in Trade Receivables</t>
        </is>
      </c>
      <c r="B13" s="35" t="n">
        <v>-7076</v>
      </c>
      <c r="C13" s="35" t="n">
        <v>-2667</v>
      </c>
      <c r="D13" s="35" t="n">
        <v>-1769</v>
      </c>
      <c r="E13" s="32">
        <f>'Balance Sheet'!D10-'Balance Sheet'!E10</f>
        <v/>
      </c>
      <c r="F13" s="32">
        <f>'Balance Sheet'!E10-'Balance Sheet'!F10</f>
        <v/>
      </c>
      <c r="G13" s="32">
        <f>'Balance Sheet'!F10-'Balance Sheet'!G10</f>
        <v/>
      </c>
      <c r="H13" s="32">
        <f>'Balance Sheet'!G10-'Balance Sheet'!H10</f>
        <v/>
      </c>
      <c r="I13" s="32">
        <f>'Balance Sheet'!H10-'Balance Sheet'!I10</f>
        <v/>
      </c>
    </row>
    <row r="14">
      <c r="A14" s="5" t="inlineStr">
        <is>
          <t>Other Current And Non-Current Assets</t>
        </is>
      </c>
      <c r="B14" s="35" t="n">
        <v>-3108</v>
      </c>
      <c r="C14" s="35" t="n">
        <v>-1172</v>
      </c>
      <c r="D14" s="35" t="n">
        <v>-1024</v>
      </c>
      <c r="E14" s="32">
        <f>('Balance Sheet'!D12+'Balance Sheet'!D14)-('Balance Sheet'!E12+'Balance Sheet'!E14)</f>
        <v/>
      </c>
      <c r="F14" s="32">
        <f>('Balance Sheet'!E12+'Balance Sheet'!E14)-('Balance Sheet'!F12+'Balance Sheet'!F14)</f>
        <v/>
      </c>
      <c r="G14" s="32">
        <f>('Balance Sheet'!F12+'Balance Sheet'!F14)-('Balance Sheet'!G12+'Balance Sheet'!G14)</f>
        <v/>
      </c>
      <c r="H14" s="32">
        <f>('Balance Sheet'!G12+'Balance Sheet'!G14)-('Balance Sheet'!H12+'Balance Sheet'!H14)</f>
        <v/>
      </c>
      <c r="I14" s="32">
        <f>('Balance Sheet'!H12+'Balance Sheet'!H14)-('Balance Sheet'!I12+'Balance Sheet'!I14)</f>
        <v/>
      </c>
    </row>
    <row r="15">
      <c r="A15" s="5" t="inlineStr">
        <is>
          <t>Trade Payables</t>
        </is>
      </c>
      <c r="B15" s="35" t="n">
        <v>-279</v>
      </c>
      <c r="C15" s="35" t="n">
        <v>91</v>
      </c>
      <c r="D15" s="35" t="n">
        <v>176</v>
      </c>
      <c r="E15" s="32">
        <f>'Balance Sheet'!E33-'Balance Sheet'!D33</f>
        <v/>
      </c>
      <c r="F15" s="32">
        <f>'Balance Sheet'!F33-'Balance Sheet'!E33</f>
        <v/>
      </c>
      <c r="G15" s="32">
        <f>'Balance Sheet'!G33-'Balance Sheet'!F33</f>
        <v/>
      </c>
      <c r="H15" s="32">
        <f>'Balance Sheet'!H33-'Balance Sheet'!G33</f>
        <v/>
      </c>
      <c r="I15" s="32">
        <f>'Balance Sheet'!I33-'Balance Sheet'!H33</f>
        <v/>
      </c>
    </row>
    <row r="16">
      <c r="A16" s="5" t="inlineStr">
        <is>
          <t>Other Liabilities and Provisions</t>
        </is>
      </c>
      <c r="B16" s="35" t="n">
        <v>4119</v>
      </c>
      <c r="C16" s="35" t="n">
        <v>-1334</v>
      </c>
      <c r="D16" s="35" t="n">
        <v>2322</v>
      </c>
      <c r="E16" s="32">
        <f>('Balance Sheet'!E35+'Balance Sheet'!E36+'Balance Sheet'!E37)-('Balance Sheet'!D35+'Balance Sheet'!D36+'Balance Sheet'!D37)</f>
        <v/>
      </c>
      <c r="F16" s="32">
        <f>('Balance Sheet'!F35+'Balance Sheet'!F36+'Balance Sheet'!F37)-('Balance Sheet'!E35+'Balance Sheet'!E36+'Balance Sheet'!E37)</f>
        <v/>
      </c>
      <c r="G16" s="32">
        <f>('Balance Sheet'!G35+'Balance Sheet'!G36+'Balance Sheet'!G37)-('Balance Sheet'!F35+'Balance Sheet'!F36+'Balance Sheet'!F37)</f>
        <v/>
      </c>
      <c r="H16" s="32">
        <f>('Balance Sheet'!H35+'Balance Sheet'!H36+'Balance Sheet'!H37)-('Balance Sheet'!G35+'Balance Sheet'!G36+'Balance Sheet'!G37)</f>
        <v/>
      </c>
      <c r="I16" s="32">
        <f>('Balance Sheet'!I35+'Balance Sheet'!I36+'Balance Sheet'!I37)-('Balance Sheet'!H35+'Balance Sheet'!H36+'Balance Sheet'!H37)</f>
        <v/>
      </c>
    </row>
    <row r="17">
      <c r="A17" s="2" t="inlineStr">
        <is>
          <t>Cash Generated From Operations</t>
        </is>
      </c>
      <c r="B17" s="40">
        <f>SUM(B7:B16)</f>
        <v/>
      </c>
      <c r="C17" s="40">
        <f>SUM(C7:C16)</f>
        <v/>
      </c>
      <c r="D17" s="40">
        <f>SUM(D7:D16)</f>
        <v/>
      </c>
      <c r="E17" s="34">
        <f>SUM(E7:E16)</f>
        <v/>
      </c>
      <c r="F17" s="34">
        <f>SUM(F7:F16)</f>
        <v/>
      </c>
      <c r="G17" s="34">
        <f>SUM(G7:G16)</f>
        <v/>
      </c>
      <c r="H17" s="34">
        <f>SUM(H7:H16)</f>
        <v/>
      </c>
      <c r="I17" s="34">
        <f>SUM(I7:I16)</f>
        <v/>
      </c>
    </row>
    <row r="18">
      <c r="A18" s="5" t="inlineStr">
        <is>
          <t>Income Taxes Paid (Net)</t>
        </is>
      </c>
      <c r="B18" s="35" t="n">
        <v>-8794</v>
      </c>
      <c r="C18" s="35" t="n">
        <v>-9231</v>
      </c>
      <c r="D18" s="35" t="n">
        <v>-5602</v>
      </c>
      <c r="E18" s="32">
        <f>-('Income Statement'!E22+'Income Statement'!E23)</f>
        <v/>
      </c>
      <c r="F18" s="32">
        <f>-('Income Statement'!F22+'Income Statement'!F23)</f>
        <v/>
      </c>
      <c r="G18" s="32">
        <f>-('Income Statement'!G22+'Income Statement'!G23)</f>
        <v/>
      </c>
      <c r="H18" s="32">
        <f>-('Income Statement'!H22+'Income Statement'!H23)</f>
        <v/>
      </c>
      <c r="I18" s="32">
        <f>-('Income Statement'!I22+'Income Statement'!I23)</f>
        <v/>
      </c>
    </row>
    <row r="19">
      <c r="A19" s="2" t="inlineStr">
        <is>
          <t>Net Cash Flow From Operating Activities</t>
        </is>
      </c>
      <c r="B19" s="40">
        <f>B17+B18</f>
        <v/>
      </c>
      <c r="C19" s="40">
        <f>C17+C18</f>
        <v/>
      </c>
      <c r="D19" s="40">
        <f>D17+D18</f>
        <v/>
      </c>
      <c r="E19" s="34">
        <f>E17+E18</f>
        <v/>
      </c>
      <c r="F19" s="34">
        <f>F17+F18</f>
        <v/>
      </c>
      <c r="G19" s="34">
        <f>G17+G18</f>
        <v/>
      </c>
      <c r="H19" s="34">
        <f>H17+H18</f>
        <v/>
      </c>
      <c r="I19" s="34">
        <f>I17+I18</f>
        <v/>
      </c>
    </row>
    <row r="21">
      <c r="A21" s="26" t="inlineStr">
        <is>
          <t>Cash Flows From Investing Activities:</t>
        </is>
      </c>
      <c r="B21" s="27" t="n"/>
      <c r="C21" s="27" t="n"/>
      <c r="D21" s="27" t="n"/>
      <c r="E21" s="27" t="n"/>
      <c r="F21" s="27" t="n"/>
      <c r="G21" s="27" t="n"/>
      <c r="H21" s="27" t="n"/>
      <c r="I21" s="27" t="n"/>
    </row>
    <row r="22">
      <c r="A22" s="5" t="inlineStr">
        <is>
          <t>Payments For Fixed Assets (Capex)</t>
        </is>
      </c>
      <c r="B22" s="35" t="n">
        <v>-2579</v>
      </c>
      <c r="C22" s="35" t="n">
        <v>-2201</v>
      </c>
      <c r="D22" s="35" t="n">
        <v>-2237</v>
      </c>
      <c r="E22" s="32">
        <f>-(Assumptions!E41+Assumptions!E53)</f>
        <v/>
      </c>
      <c r="F22" s="32">
        <f>-(Assumptions!F41+Assumptions!F53)</f>
        <v/>
      </c>
      <c r="G22" s="32">
        <f>-(Assumptions!G41+Assumptions!G53)</f>
        <v/>
      </c>
      <c r="H22" s="32">
        <f>-(Assumptions!H41+Assumptions!H53)</f>
        <v/>
      </c>
      <c r="I22" s="32">
        <f>-(Assumptions!I41+Assumptions!I53)</f>
        <v/>
      </c>
    </row>
    <row r="23">
      <c r="A23" s="5" t="inlineStr">
        <is>
          <t>Interest and Dividend Received</t>
        </is>
      </c>
      <c r="B23" s="35" t="n">
        <v>1525</v>
      </c>
      <c r="C23" s="35" t="n">
        <v>1768</v>
      </c>
      <c r="D23" s="35" t="n">
        <v>2040</v>
      </c>
      <c r="E23" s="32">
        <f>'Income Statement'!E19</f>
        <v/>
      </c>
      <c r="F23" s="32">
        <f>'Income Statement'!F19</f>
        <v/>
      </c>
      <c r="G23" s="32">
        <f>'Income Statement'!G19</f>
        <v/>
      </c>
      <c r="H23" s="32">
        <f>'Income Statement'!H19</f>
        <v/>
      </c>
      <c r="I23" s="32">
        <f>'Income Statement'!I19</f>
        <v/>
      </c>
    </row>
    <row r="24">
      <c r="A24" s="5" t="inlineStr">
        <is>
          <t>Acquisition of Business (incl. contingent consideration)</t>
        </is>
      </c>
      <c r="B24" s="35" t="n">
        <v>-970</v>
      </c>
      <c r="C24" s="35" t="n">
        <v>-101</v>
      </c>
      <c r="D24" s="35" t="n">
        <v>-3155</v>
      </c>
      <c r="E24" s="42" t="n">
        <v>0</v>
      </c>
      <c r="F24" s="42" t="n">
        <v>0</v>
      </c>
      <c r="G24" s="42" t="n">
        <v>0</v>
      </c>
      <c r="H24" s="42" t="n">
        <v>0</v>
      </c>
      <c r="I24" s="42" t="n">
        <v>0</v>
      </c>
    </row>
    <row r="25">
      <c r="A25" s="5" t="inlineStr">
        <is>
          <t>Net Purchase/Sale of Investments, Deposits and Other</t>
        </is>
      </c>
      <c r="B25" s="35" t="n">
        <v>815</v>
      </c>
      <c r="C25" s="35" t="n">
        <v>-4475</v>
      </c>
      <c r="D25" s="35" t="n">
        <v>1406</v>
      </c>
      <c r="E25" s="42" t="n">
        <v>0</v>
      </c>
      <c r="F25" s="42" t="n">
        <v>0</v>
      </c>
      <c r="G25" s="42" t="n">
        <v>0</v>
      </c>
      <c r="H25" s="42" t="n">
        <v>0</v>
      </c>
      <c r="I25" s="42" t="n">
        <v>0</v>
      </c>
      <c r="K25" s="3" t="inlineStr">
        <is>
          <t>Investments held flat in forecast; surplus builds up as cash</t>
        </is>
      </c>
    </row>
    <row r="26">
      <c r="A26" s="2" t="inlineStr">
        <is>
          <t>Net Cash Flow From Investing Activities</t>
        </is>
      </c>
      <c r="B26" s="40">
        <f>SUM(B22:B25)</f>
        <v/>
      </c>
      <c r="C26" s="40">
        <f>SUM(C22:C25)</f>
        <v/>
      </c>
      <c r="D26" s="40">
        <f>SUM(D22:D25)</f>
        <v/>
      </c>
      <c r="E26" s="34">
        <f>SUM(E22:E25)</f>
        <v/>
      </c>
      <c r="F26" s="34">
        <f>SUM(F22:F25)</f>
        <v/>
      </c>
      <c r="G26" s="34">
        <f>SUM(G22:G25)</f>
        <v/>
      </c>
      <c r="H26" s="34">
        <f>SUM(H22:H25)</f>
        <v/>
      </c>
      <c r="I26" s="34">
        <f>SUM(I22:I25)</f>
        <v/>
      </c>
    </row>
    <row r="28">
      <c r="A28" s="26" t="inlineStr">
        <is>
          <t>Cash Flows From Financing Activities:</t>
        </is>
      </c>
      <c r="B28" s="27" t="n"/>
      <c r="C28" s="27" t="n"/>
      <c r="D28" s="27" t="n"/>
      <c r="E28" s="27" t="n"/>
      <c r="F28" s="27" t="n"/>
      <c r="G28" s="27" t="n"/>
      <c r="H28" s="27" t="n"/>
      <c r="I28" s="27" t="n"/>
    </row>
    <row r="29">
      <c r="A29" s="5" t="inlineStr">
        <is>
          <t>Payment of Lease Liabilities (principal + interest)</t>
        </is>
      </c>
      <c r="B29" s="35" t="n">
        <v>-1231</v>
      </c>
      <c r="C29" s="35" t="n">
        <v>-2024</v>
      </c>
      <c r="D29" s="35" t="n">
        <v>-2355</v>
      </c>
      <c r="E29" s="32">
        <f>-Assumptions!E63</f>
        <v/>
      </c>
      <c r="F29" s="32">
        <f>-Assumptions!F63</f>
        <v/>
      </c>
      <c r="G29" s="32">
        <f>-Assumptions!G63</f>
        <v/>
      </c>
      <c r="H29" s="32">
        <f>-Assumptions!H63</f>
        <v/>
      </c>
      <c r="I29" s="32">
        <f>-Assumptions!I63</f>
        <v/>
      </c>
    </row>
    <row r="30">
      <c r="A30" s="5" t="inlineStr">
        <is>
          <t>Dividend Paid</t>
        </is>
      </c>
      <c r="B30" s="35" t="n">
        <v>-13631</v>
      </c>
      <c r="C30" s="35" t="n">
        <v>-14692</v>
      </c>
      <c r="D30" s="35" t="n">
        <v>-20287</v>
      </c>
      <c r="E30" s="32">
        <f>-'Income Statement'!E34</f>
        <v/>
      </c>
      <c r="F30" s="32">
        <f>-'Income Statement'!F34</f>
        <v/>
      </c>
      <c r="G30" s="32">
        <f>-'Income Statement'!G34</f>
        <v/>
      </c>
      <c r="H30" s="32">
        <f>-'Income Statement'!H34</f>
        <v/>
      </c>
      <c r="I30" s="32">
        <f>-'Income Statement'!I34</f>
        <v/>
      </c>
    </row>
    <row r="31">
      <c r="A31" s="5" t="inlineStr">
        <is>
          <t>Buyback of Equity Shares</t>
        </is>
      </c>
      <c r="B31" s="35" t="n">
        <v>-11499</v>
      </c>
      <c r="C31" s="35" t="n">
        <v>0</v>
      </c>
      <c r="D31" s="35" t="n">
        <v>0</v>
      </c>
      <c r="E31" s="42" t="n">
        <v>0</v>
      </c>
      <c r="F31" s="42" t="n">
        <v>0</v>
      </c>
      <c r="G31" s="42" t="n">
        <v>0</v>
      </c>
      <c r="H31" s="42" t="n">
        <v>0</v>
      </c>
      <c r="I31" s="42" t="n">
        <v>0</v>
      </c>
    </row>
    <row r="32">
      <c r="A32" s="5" t="inlineStr">
        <is>
          <t>Other Financing Activity (NCI dividend, options, loan repayment, other)</t>
        </is>
      </c>
      <c r="B32" s="35" t="n">
        <v>-334</v>
      </c>
      <c r="C32" s="35" t="n">
        <v>-788</v>
      </c>
      <c r="D32" s="35" t="n">
        <v>-1519</v>
      </c>
      <c r="E32" s="42" t="n">
        <v>0</v>
      </c>
      <c r="F32" s="42" t="n">
        <v>0</v>
      </c>
      <c r="G32" s="42" t="n">
        <v>0</v>
      </c>
      <c r="H32" s="42" t="n">
        <v>0</v>
      </c>
      <c r="I32" s="42" t="n">
        <v>0</v>
      </c>
    </row>
    <row r="33">
      <c r="A33" s="2" t="inlineStr">
        <is>
          <t>Net Cash Used In Financing Activities</t>
        </is>
      </c>
      <c r="B33" s="40">
        <f>SUM(B29:B32)</f>
        <v/>
      </c>
      <c r="C33" s="40">
        <f>SUM(C29:C32)</f>
        <v/>
      </c>
      <c r="D33" s="40">
        <f>SUM(D29:D32)</f>
        <v/>
      </c>
      <c r="E33" s="34">
        <f>SUM(E29:E32)</f>
        <v/>
      </c>
      <c r="F33" s="34">
        <f>SUM(F29:F32)</f>
        <v/>
      </c>
      <c r="G33" s="34">
        <f>SUM(G29:G32)</f>
        <v/>
      </c>
      <c r="H33" s="34">
        <f>SUM(H29:H32)</f>
        <v/>
      </c>
      <c r="I33" s="34">
        <f>SUM(I29:I32)</f>
        <v/>
      </c>
    </row>
    <row r="35">
      <c r="A35" s="2" t="inlineStr">
        <is>
          <t>Increase (Decrease) In Cash And Cash Equivalents</t>
        </is>
      </c>
      <c r="B35" s="41">
        <f>B19+B26+B33</f>
        <v/>
      </c>
      <c r="C35" s="41">
        <f>C19+C26+C33</f>
        <v/>
      </c>
      <c r="D35" s="41">
        <f>D19+D26+D33</f>
        <v/>
      </c>
      <c r="E35" s="37">
        <f>E19+E26+E33</f>
        <v/>
      </c>
      <c r="F35" s="37">
        <f>F19+F26+F33</f>
        <v/>
      </c>
      <c r="G35" s="37">
        <f>G19+G26+G33</f>
        <v/>
      </c>
      <c r="H35" s="37">
        <f>H19+H26+H33</f>
        <v/>
      </c>
      <c r="I35" s="37">
        <f>I19+I26+I33</f>
        <v/>
      </c>
    </row>
    <row r="36">
      <c r="A36" s="5" t="inlineStr">
        <is>
          <t>Effect Of Exchange Rate Change On Cash</t>
        </is>
      </c>
      <c r="B36" s="35" t="n">
        <v>138</v>
      </c>
      <c r="C36" s="35" t="n">
        <v>-84</v>
      </c>
      <c r="D36" s="35" t="n">
        <v>82</v>
      </c>
      <c r="E36" s="42" t="n">
        <v>0</v>
      </c>
      <c r="F36" s="42" t="n">
        <v>0</v>
      </c>
      <c r="G36" s="42" t="n">
        <v>0</v>
      </c>
      <c r="H36" s="42" t="n">
        <v>0</v>
      </c>
      <c r="I36" s="42" t="n">
        <v>0</v>
      </c>
    </row>
    <row r="37">
      <c r="A37" s="5" t="inlineStr">
        <is>
          <t>Cash And Cash Equivalents At Beginning Of Period</t>
        </is>
      </c>
      <c r="B37" s="35" t="n">
        <v>17472</v>
      </c>
      <c r="C37" s="35" t="n">
        <v>12173</v>
      </c>
      <c r="D37" s="35" t="n">
        <v>14786</v>
      </c>
      <c r="E37" s="30">
        <f>D38</f>
        <v/>
      </c>
      <c r="F37" s="30">
        <f>E38</f>
        <v/>
      </c>
      <c r="G37" s="30">
        <f>F38</f>
        <v/>
      </c>
      <c r="H37" s="30">
        <f>G38</f>
        <v/>
      </c>
      <c r="I37" s="30">
        <f>H38</f>
        <v/>
      </c>
    </row>
    <row r="38">
      <c r="A38" s="2" t="inlineStr">
        <is>
          <t>Cash And Cash Equivalents At The End Of Period</t>
        </is>
      </c>
      <c r="B38" s="40">
        <f>B35+B36+B37</f>
        <v/>
      </c>
      <c r="C38" s="40">
        <f>C35+C36+C37</f>
        <v/>
      </c>
      <c r="D38" s="40">
        <f>D35+D36+D37</f>
        <v/>
      </c>
      <c r="E38" s="34">
        <f>E35+E36+E37</f>
        <v/>
      </c>
      <c r="F38" s="34">
        <f>F35+F36+F37</f>
        <v/>
      </c>
      <c r="G38" s="34">
        <f>G35+G36+G37</f>
        <v/>
      </c>
      <c r="H38" s="34">
        <f>H35+H36+H37</f>
        <v/>
      </c>
      <c r="I38" s="34">
        <f>I35+I36+I37</f>
        <v/>
      </c>
    </row>
    <row r="39">
      <c r="A39" s="5" t="inlineStr">
        <is>
          <t>Check vs Balance Sheet cash -&gt; should be 0</t>
        </is>
      </c>
      <c r="B39" s="11">
        <f>ROUND(B38-'Balance Sheet'!B8,0)</f>
        <v/>
      </c>
      <c r="C39" s="11">
        <f>ROUND(C38-'Balance Sheet'!C8,0)</f>
        <v/>
      </c>
      <c r="D39" s="11">
        <f>ROUND(D38-'Balance Sheet'!D8,0)</f>
        <v/>
      </c>
      <c r="E39" s="11">
        <f>ROUND(E38-'Balance Sheet'!E8,0)</f>
        <v/>
      </c>
      <c r="F39" s="11">
        <f>ROUND(F38-'Balance Sheet'!F8,0)</f>
        <v/>
      </c>
      <c r="G39" s="11">
        <f>ROUND(G38-'Balance Sheet'!G8,0)</f>
        <v/>
      </c>
      <c r="H39" s="11">
        <f>ROUND(H38-'Balance Sheet'!H8,0)</f>
        <v/>
      </c>
      <c r="I39" s="11">
        <f>ROUND(I38-'Balance Sheet'!I8,0)</f>
        <v/>
      </c>
    </row>
    <row r="41">
      <c r="A41" s="2" t="inlineStr">
        <is>
          <t>Free Cash Flow (Operating cash flow - Capex)</t>
        </is>
      </c>
      <c r="B41" s="41">
        <f>B19+B22</f>
        <v/>
      </c>
      <c r="C41" s="41">
        <f>C19+C22</f>
        <v/>
      </c>
      <c r="D41" s="41">
        <f>D19+D22</f>
        <v/>
      </c>
      <c r="E41" s="37">
        <f>E19+E22</f>
        <v/>
      </c>
      <c r="F41" s="37">
        <f>F19+F22</f>
        <v/>
      </c>
      <c r="G41" s="37">
        <f>G19+G22</f>
        <v/>
      </c>
      <c r="H41" s="37">
        <f>H19+H22</f>
        <v/>
      </c>
      <c r="I41" s="37">
        <f>I19+I22</f>
        <v/>
      </c>
    </row>
  </sheetData>
  <pageMargins left="0.75" right="0.75" top="1" bottom="1" header="0.5" footer="0.5"/>
</worksheet>
</file>

<file path=xl/worksheets/sheet7.xml><?xml version="1.0" encoding="utf-8"?>
<worksheet xmlns="http://schemas.openxmlformats.org/spreadsheetml/2006/main">
  <sheetPr>
    <tabColor rgb="0070AD47"/>
    <outlinePr summaryBelow="1" summaryRight="1"/>
    <pageSetUpPr/>
  </sheetPr>
  <dimension ref="A1:K6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6"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 width="12.5" customWidth="1" min="15" max="15"/>
    <col width="12.5" customWidth="1" min="16" max="16"/>
  </cols>
  <sheetData>
    <row r="1">
      <c r="A1" s="1" t="inlineStr">
        <is>
          <t>Infosys Limited</t>
        </is>
      </c>
    </row>
    <row r="2">
      <c r="A2" s="2" t="inlineStr">
        <is>
          <t>Valuation - Discounted Cash Flow (DCF)</t>
        </is>
      </c>
    </row>
    <row r="3">
      <c r="A3" s="3" t="inlineStr">
        <is>
          <t>(In INR Crores, unless otherwise stated)  |  Blue = reported / hard-coded input, Black = formula, yellow cells = forecast</t>
        </is>
      </c>
    </row>
    <row r="5">
      <c r="A5" s="2" t="inlineStr">
        <is>
          <t>Long Term Growth Rate</t>
        </is>
      </c>
      <c r="B5" s="50" t="n">
        <v>0.055</v>
      </c>
      <c r="C5" s="3" t="inlineStr">
        <is>
          <t>Input: ~4% US$ growth + ~1.5% INR depreciation</t>
        </is>
      </c>
    </row>
    <row r="6"/>
    <row r="7">
      <c r="A7" s="2" t="inlineStr">
        <is>
          <t>Cost of Equity (Ke)</t>
        </is>
      </c>
      <c r="B7" s="51">
        <f>E7+(B8*E9)</f>
        <v/>
      </c>
      <c r="D7" s="2" t="inlineStr">
        <is>
          <t>Risk Free rate</t>
        </is>
      </c>
      <c r="E7" s="52" t="n">
        <v>0.06809999999999999</v>
      </c>
      <c r="F7" s="3" t="inlineStr">
        <is>
          <t>10-yr G-sec yield, 31-Mar-2025</t>
        </is>
      </c>
    </row>
    <row r="8">
      <c r="A8" s="2" t="inlineStr">
        <is>
          <t>Stock Beta</t>
        </is>
      </c>
      <c r="B8" s="52" t="n">
        <v>0.9</v>
      </c>
      <c r="D8" s="2" t="inlineStr">
        <is>
          <t>Market Return</t>
        </is>
      </c>
      <c r="E8" s="52" t="n">
        <v>0.1231</v>
      </c>
    </row>
    <row r="9">
      <c r="A9" s="2" t="inlineStr">
        <is>
          <t>Long Term Cost of Debt (lease interest)</t>
        </is>
      </c>
      <c r="B9" s="53">
        <f>'Income Statement'!D20/('Balance Sheet'!C34+'Balance Sheet'!C41)</f>
        <v/>
      </c>
      <c r="D9" s="2" t="inlineStr">
        <is>
          <t>Market Premium</t>
        </is>
      </c>
      <c r="E9" s="51">
        <f>E8-E7</f>
        <v/>
      </c>
    </row>
    <row r="10">
      <c r="A10" s="2" t="inlineStr">
        <is>
          <t>Tax Rate</t>
        </is>
      </c>
      <c r="B10" s="53">
        <f>Assumptions!D15</f>
        <v/>
      </c>
      <c r="D10" s="2" t="inlineStr">
        <is>
          <t>Weight of Equity</t>
        </is>
      </c>
      <c r="E10" s="51">
        <f>E12/(E12+E13)</f>
        <v/>
      </c>
    </row>
    <row r="11">
      <c r="A11" s="2" t="inlineStr">
        <is>
          <t>WACC</t>
        </is>
      </c>
      <c r="B11" s="54">
        <f>(E10*B7)+(E11*B9*(1-B10))</f>
        <v/>
      </c>
      <c r="D11" s="2" t="inlineStr">
        <is>
          <t>Weight of Debt</t>
        </is>
      </c>
      <c r="E11" s="51">
        <f>E13/(E12+E13)</f>
        <v/>
      </c>
    </row>
    <row r="12">
      <c r="D12" s="2" t="inlineStr">
        <is>
          <t>Equity (market capitalisation)</t>
        </is>
      </c>
      <c r="E12" s="55">
        <f>B15</f>
        <v/>
      </c>
    </row>
    <row r="13">
      <c r="A13" s="2" t="inlineStr">
        <is>
          <t>Number of Shares Outstanding (crore, diluted)</t>
        </is>
      </c>
      <c r="B13" s="23">
        <f>'Income Statement'!D31</f>
        <v/>
      </c>
      <c r="D13" s="2" t="inlineStr">
        <is>
          <t>Total Debt (lease liabilities)</t>
        </is>
      </c>
      <c r="E13" s="23">
        <f>'Balance Sheet'!D34+'Balance Sheet'!D41</f>
        <v/>
      </c>
    </row>
    <row r="14">
      <c r="A14" s="2" t="inlineStr">
        <is>
          <t>Current Market Price (Rs)</t>
        </is>
      </c>
      <c r="B14" s="56" t="n">
        <v>1573.4</v>
      </c>
      <c r="C14" s="3" t="inlineStr">
        <is>
          <t>Company-reported market cap Rs6,52,332 crore / 414.6 crore shares at 31-Mar-2025</t>
        </is>
      </c>
    </row>
    <row r="15">
      <c r="A15" s="2" t="inlineStr">
        <is>
          <t>Market Capitalisation</t>
        </is>
      </c>
      <c r="B15" s="55">
        <f>B13*B14</f>
        <v/>
      </c>
    </row>
    <row r="16">
      <c r="A16" s="2" t="inlineStr">
        <is>
          <t>Debt (borrowings)</t>
        </is>
      </c>
      <c r="B16" s="50" t="n">
        <v>0</v>
      </c>
      <c r="C16" s="3" t="inlineStr">
        <is>
          <t>Infosys has no borrowings; leases are treated as operating costs in FCFF (see row 34), so they are not counted as debt here</t>
        </is>
      </c>
    </row>
    <row r="17">
      <c r="A17" s="2" t="inlineStr">
        <is>
          <t>Cash and Investments</t>
        </is>
      </c>
      <c r="B17" s="21">
        <f>'Balance Sheet'!D8+'Balance Sheet'!D9+'Balance Sheet'!D22</f>
        <v/>
      </c>
    </row>
    <row r="18">
      <c r="A18" s="2" t="inlineStr">
        <is>
          <t>Minority Interest</t>
        </is>
      </c>
      <c r="B18" s="21">
        <f>'Balance Sheet'!D52</f>
        <v/>
      </c>
    </row>
    <row r="19">
      <c r="A19" s="2" t="inlineStr">
        <is>
          <t>Enterprise Value (market)</t>
        </is>
      </c>
      <c r="B19" s="55">
        <f>B15+B16-B17+B18</f>
        <v/>
      </c>
    </row>
    <row r="21">
      <c r="A21" s="26" t="inlineStr">
        <is>
          <t>CALCULATION OF FREE CASH FLOW TO FIRM (FCFF)</t>
        </is>
      </c>
      <c r="B21" s="27" t="n"/>
      <c r="C21" s="27" t="n"/>
      <c r="D21" s="27" t="n"/>
      <c r="E21" s="27" t="n"/>
      <c r="F21" s="27" t="n"/>
      <c r="G21" s="27" t="n"/>
      <c r="H21" s="27" t="n"/>
      <c r="I21" s="27" t="n"/>
      <c r="J21" s="27" t="n"/>
    </row>
    <row r="22">
      <c r="A22" s="18" t="inlineStr">
        <is>
          <t>Particulars</t>
        </is>
      </c>
      <c r="B22" s="19">
        <f>Assumptions!B5</f>
        <v/>
      </c>
      <c r="C22" s="19">
        <f>Assumptions!C5</f>
        <v/>
      </c>
      <c r="D22" s="19">
        <f>Assumptions!D5</f>
        <v/>
      </c>
      <c r="E22" s="19">
        <f>Assumptions!E5</f>
        <v/>
      </c>
      <c r="F22" s="19">
        <f>Assumptions!F5</f>
        <v/>
      </c>
      <c r="G22" s="19">
        <f>Assumptions!G5</f>
        <v/>
      </c>
      <c r="H22" s="19">
        <f>Assumptions!H5</f>
        <v/>
      </c>
      <c r="I22" s="19">
        <f>Assumptions!I5</f>
        <v/>
      </c>
      <c r="J22" s="19" t="inlineStr">
        <is>
          <t>Terminal Value</t>
        </is>
      </c>
    </row>
    <row r="23">
      <c r="A23" s="5" t="inlineStr">
        <is>
          <t>Revenues</t>
        </is>
      </c>
      <c r="B23" s="11">
        <f>'Income Statement'!B7</f>
        <v/>
      </c>
      <c r="C23" s="11">
        <f>'Income Statement'!C7</f>
        <v/>
      </c>
      <c r="D23" s="11">
        <f>'Income Statement'!D7</f>
        <v/>
      </c>
      <c r="E23" s="11">
        <f>'Income Statement'!E7</f>
        <v/>
      </c>
      <c r="F23" s="11">
        <f>'Income Statement'!F7</f>
        <v/>
      </c>
      <c r="G23" s="11">
        <f>'Income Statement'!G7</f>
        <v/>
      </c>
      <c r="H23" s="11">
        <f>'Income Statement'!H7</f>
        <v/>
      </c>
      <c r="I23" s="11">
        <f>'Income Statement'!I7</f>
        <v/>
      </c>
    </row>
    <row r="24">
      <c r="A24" s="5" t="inlineStr">
        <is>
          <t>% Growth Revenue</t>
        </is>
      </c>
      <c r="C24" s="47">
        <f>C23/B23-1</f>
        <v/>
      </c>
      <c r="D24" s="47">
        <f>D23/C23-1</f>
        <v/>
      </c>
      <c r="E24" s="47">
        <f>E23/D23-1</f>
        <v/>
      </c>
      <c r="F24" s="47">
        <f>F23/E23-1</f>
        <v/>
      </c>
      <c r="G24" s="47">
        <f>G23/F23-1</f>
        <v/>
      </c>
      <c r="H24" s="47">
        <f>H23/G23-1</f>
        <v/>
      </c>
      <c r="I24" s="47">
        <f>I23/H23-1</f>
        <v/>
      </c>
    </row>
    <row r="25">
      <c r="A25" s="5" t="inlineStr">
        <is>
          <t>EBITDA</t>
        </is>
      </c>
      <c r="B25" s="11">
        <f>'Income Statement'!B16</f>
        <v/>
      </c>
      <c r="C25" s="11">
        <f>'Income Statement'!C16</f>
        <v/>
      </c>
      <c r="D25" s="11">
        <f>'Income Statement'!D16</f>
        <v/>
      </c>
      <c r="E25" s="11">
        <f>'Income Statement'!E16</f>
        <v/>
      </c>
      <c r="F25" s="11">
        <f>'Income Statement'!F16</f>
        <v/>
      </c>
      <c r="G25" s="11">
        <f>'Income Statement'!G16</f>
        <v/>
      </c>
      <c r="H25" s="11">
        <f>'Income Statement'!H16</f>
        <v/>
      </c>
      <c r="I25" s="11">
        <f>'Income Statement'!I16</f>
        <v/>
      </c>
    </row>
    <row r="26">
      <c r="A26" s="5" t="inlineStr">
        <is>
          <t>EBIT</t>
        </is>
      </c>
      <c r="B26" s="11">
        <f>'Income Statement'!B18</f>
        <v/>
      </c>
      <c r="C26" s="11">
        <f>'Income Statement'!C18</f>
        <v/>
      </c>
      <c r="D26" s="11">
        <f>'Income Statement'!D18</f>
        <v/>
      </c>
      <c r="E26" s="11">
        <f>'Income Statement'!E18</f>
        <v/>
      </c>
      <c r="F26" s="11">
        <f>'Income Statement'!F18</f>
        <v/>
      </c>
      <c r="G26" s="11">
        <f>'Income Statement'!G18</f>
        <v/>
      </c>
      <c r="H26" s="11">
        <f>'Income Statement'!H18</f>
        <v/>
      </c>
      <c r="I26" s="11">
        <f>'Income Statement'!I18</f>
        <v/>
      </c>
    </row>
    <row r="27">
      <c r="A27" s="5" t="inlineStr">
        <is>
          <t>Tax Rate</t>
        </is>
      </c>
      <c r="B27" s="15">
        <f>('Income Statement'!B22+'Income Statement'!B23)/'Income Statement'!B21</f>
        <v/>
      </c>
      <c r="C27" s="15">
        <f>('Income Statement'!C22+'Income Statement'!C23)/'Income Statement'!C21</f>
        <v/>
      </c>
      <c r="D27" s="15">
        <f>('Income Statement'!D22+'Income Statement'!D23)/'Income Statement'!D21</f>
        <v/>
      </c>
      <c r="E27" s="15">
        <f>('Income Statement'!E22+'Income Statement'!E23)/'Income Statement'!E21</f>
        <v/>
      </c>
      <c r="F27" s="15">
        <f>('Income Statement'!F22+'Income Statement'!F23)/'Income Statement'!F21</f>
        <v/>
      </c>
      <c r="G27" s="15">
        <f>('Income Statement'!G22+'Income Statement'!G23)/'Income Statement'!G21</f>
        <v/>
      </c>
      <c r="H27" s="15">
        <f>('Income Statement'!H22+'Income Statement'!H23)/'Income Statement'!H21</f>
        <v/>
      </c>
      <c r="I27" s="15">
        <f>('Income Statement'!I22+'Income Statement'!I23)/'Income Statement'!I21</f>
        <v/>
      </c>
    </row>
    <row r="28">
      <c r="A28" s="2" t="inlineStr">
        <is>
          <t>Net Operating Profit After Taxes (NOPAT = EBIT x (1 - tax))</t>
        </is>
      </c>
      <c r="B28" s="41">
        <f>B26*(1-B27)</f>
        <v/>
      </c>
      <c r="C28" s="41">
        <f>C26*(1-C27)</f>
        <v/>
      </c>
      <c r="D28" s="41">
        <f>D26*(1-D27)</f>
        <v/>
      </c>
      <c r="E28" s="41">
        <f>E26*(1-E27)</f>
        <v/>
      </c>
      <c r="F28" s="41">
        <f>F26*(1-F27)</f>
        <v/>
      </c>
      <c r="G28" s="41">
        <f>G26*(1-G27)</f>
        <v/>
      </c>
      <c r="H28" s="41">
        <f>H26*(1-H27)</f>
        <v/>
      </c>
      <c r="I28" s="41">
        <f>I26*(1-I27)</f>
        <v/>
      </c>
    </row>
    <row r="29">
      <c r="A29" s="5" t="inlineStr">
        <is>
          <t>+ Depreciation &amp; Amortisation</t>
        </is>
      </c>
      <c r="B29" s="11">
        <f>'Income Statement'!B17</f>
        <v/>
      </c>
      <c r="C29" s="11">
        <f>'Income Statement'!C17</f>
        <v/>
      </c>
      <c r="D29" s="11">
        <f>'Income Statement'!D17</f>
        <v/>
      </c>
      <c r="E29" s="11">
        <f>'Income Statement'!E17</f>
        <v/>
      </c>
      <c r="F29" s="11">
        <f>'Income Statement'!F17</f>
        <v/>
      </c>
      <c r="G29" s="11">
        <f>'Income Statement'!G17</f>
        <v/>
      </c>
      <c r="H29" s="11">
        <f>'Income Statement'!H17</f>
        <v/>
      </c>
      <c r="I29" s="11">
        <f>'Income Statement'!I17</f>
        <v/>
      </c>
    </row>
    <row r="30">
      <c r="A30" s="5" t="inlineStr">
        <is>
          <t>- Capex</t>
        </is>
      </c>
      <c r="B30" s="11">
        <f>CFS!B22</f>
        <v/>
      </c>
      <c r="C30" s="11">
        <f>CFS!C22</f>
        <v/>
      </c>
      <c r="D30" s="11">
        <f>CFS!D22</f>
        <v/>
      </c>
      <c r="E30" s="11">
        <f>CFS!E22</f>
        <v/>
      </c>
      <c r="F30" s="11">
        <f>CFS!F22</f>
        <v/>
      </c>
      <c r="G30" s="11">
        <f>CFS!G22</f>
        <v/>
      </c>
      <c r="H30" s="11">
        <f>CFS!H22</f>
        <v/>
      </c>
      <c r="I30" s="11">
        <f>CFS!I22</f>
        <v/>
      </c>
    </row>
    <row r="31">
      <c r="A31" s="5" t="inlineStr">
        <is>
          <t>+/- Change in Working Capital</t>
        </is>
      </c>
      <c r="B31" s="11">
        <f>SUM(CFS!B13:B16)</f>
        <v/>
      </c>
      <c r="C31" s="11">
        <f>SUM(CFS!C13:C16)</f>
        <v/>
      </c>
      <c r="D31" s="11">
        <f>SUM(CFS!D13:D16)</f>
        <v/>
      </c>
      <c r="E31" s="11">
        <f>SUM(CFS!E13:E16)</f>
        <v/>
      </c>
      <c r="F31" s="11">
        <f>SUM(CFS!F13:F16)</f>
        <v/>
      </c>
      <c r="G31" s="11">
        <f>SUM(CFS!G13:G16)</f>
        <v/>
      </c>
      <c r="H31" s="11">
        <f>SUM(CFS!H13:H16)</f>
        <v/>
      </c>
      <c r="I31" s="11">
        <f>SUM(CFS!I13:I16)</f>
        <v/>
      </c>
    </row>
    <row r="32">
      <c r="A32" s="5" t="inlineStr">
        <is>
          <t>- Lease payments (principal + interest)</t>
        </is>
      </c>
      <c r="B32" s="11">
        <f>CFS!B29</f>
        <v/>
      </c>
      <c r="C32" s="11">
        <f>CFS!C29</f>
        <v/>
      </c>
      <c r="D32" s="11">
        <f>CFS!D29</f>
        <v/>
      </c>
      <c r="E32" s="11">
        <f>CFS!E29</f>
        <v/>
      </c>
      <c r="F32" s="11">
        <f>CFS!F29</f>
        <v/>
      </c>
      <c r="G32" s="11">
        <f>CFS!G29</f>
        <v/>
      </c>
      <c r="H32" s="11">
        <f>CFS!H29</f>
        <v/>
      </c>
      <c r="I32" s="11">
        <f>CFS!I29</f>
        <v/>
      </c>
      <c r="K32" s="3" t="inlineStr">
        <is>
          <t>Leases treated as an operating cost</t>
        </is>
      </c>
    </row>
    <row r="33">
      <c r="A33" s="2" t="inlineStr">
        <is>
          <t>FCFF</t>
        </is>
      </c>
      <c r="B33" s="40">
        <f>B28+B29+B30+B31+B32</f>
        <v/>
      </c>
      <c r="C33" s="40">
        <f>C28+C29+C30+C31+C32</f>
        <v/>
      </c>
      <c r="D33" s="40">
        <f>D28+D29+D30+D31+D32</f>
        <v/>
      </c>
      <c r="E33" s="40">
        <f>E28+E29+E30+E31+E32</f>
        <v/>
      </c>
      <c r="F33" s="40">
        <f>F28+F29+F30+F31+F32</f>
        <v/>
      </c>
      <c r="G33" s="40">
        <f>G28+G29+G30+G31+G32</f>
        <v/>
      </c>
      <c r="H33" s="40">
        <f>H28+H29+H30+H31+H32</f>
        <v/>
      </c>
      <c r="I33" s="40">
        <f>I28+I29+I30+I31+I32</f>
        <v/>
      </c>
      <c r="J33" s="57">
        <f>I33*(1+B5)/(B11-B5)</f>
        <v/>
      </c>
    </row>
    <row r="34">
      <c r="A34" s="5" t="inlineStr">
        <is>
          <t>Years to Discount</t>
        </is>
      </c>
      <c r="E34" s="58" t="n">
        <v>1</v>
      </c>
      <c r="F34" s="58" t="n">
        <v>2</v>
      </c>
      <c r="G34" s="58" t="n">
        <v>3</v>
      </c>
      <c r="H34" s="58" t="n">
        <v>4</v>
      </c>
      <c r="I34" s="58" t="n">
        <v>5</v>
      </c>
      <c r="J34" s="17">
        <f>I34</f>
        <v/>
      </c>
    </row>
    <row r="35">
      <c r="A35" s="5" t="inlineStr">
        <is>
          <t>Discount Factor = 1 / (1 + WACC) ^ years</t>
        </is>
      </c>
      <c r="E35" s="59">
        <f>1/((1+$B$11)^E34)</f>
        <v/>
      </c>
      <c r="F35" s="59">
        <f>1/((1+$B$11)^F34)</f>
        <v/>
      </c>
      <c r="G35" s="59">
        <f>1/((1+$B$11)^G34)</f>
        <v/>
      </c>
      <c r="H35" s="59">
        <f>1/((1+$B$11)^H34)</f>
        <v/>
      </c>
      <c r="I35" s="59">
        <f>1/((1+$B$11)^I34)</f>
        <v/>
      </c>
      <c r="J35" s="60">
        <f>I35</f>
        <v/>
      </c>
    </row>
    <row r="36">
      <c r="A36" s="2" t="inlineStr">
        <is>
          <t>PV of FCFF</t>
        </is>
      </c>
      <c r="E36" s="37">
        <f>E33*E35</f>
        <v/>
      </c>
      <c r="F36" s="37">
        <f>F33*F35</f>
        <v/>
      </c>
      <c r="G36" s="37">
        <f>G33*G35</f>
        <v/>
      </c>
      <c r="H36" s="37">
        <f>H33*H35</f>
        <v/>
      </c>
      <c r="I36" s="37">
        <f>I33*I35</f>
        <v/>
      </c>
      <c r="J36" s="61">
        <f>J33*J35</f>
        <v/>
      </c>
    </row>
    <row r="39">
      <c r="A39" s="5" t="inlineStr">
        <is>
          <t>Sum of PV of FCFF (FY2026E - FY2030E)</t>
        </is>
      </c>
      <c r="B39" s="49">
        <f>SUM(E36:I36)</f>
        <v/>
      </c>
    </row>
    <row r="40">
      <c r="A40" s="5" t="inlineStr">
        <is>
          <t>Terminal Value = FCFF5 x (1 + g) / (WACC - g)</t>
        </is>
      </c>
      <c r="B40" s="49">
        <f>J33</f>
        <v/>
      </c>
    </row>
    <row r="41">
      <c r="A41" s="5" t="inlineStr">
        <is>
          <t>Present Value of Terminal Value</t>
        </is>
      </c>
      <c r="B41" s="49">
        <f>J36</f>
        <v/>
      </c>
    </row>
    <row r="42">
      <c r="A42" s="2" t="inlineStr">
        <is>
          <t>Company's Enterprise Value (EV)</t>
        </is>
      </c>
      <c r="B42" s="41">
        <f>B39+B41</f>
        <v/>
      </c>
    </row>
    <row r="43">
      <c r="A43" s="5" t="inlineStr">
        <is>
          <t>+ Cash and Investments</t>
        </is>
      </c>
      <c r="B43" s="49">
        <f>B17</f>
        <v/>
      </c>
    </row>
    <row r="44">
      <c r="A44" s="5" t="inlineStr">
        <is>
          <t>- Debt (borrowings)</t>
        </is>
      </c>
      <c r="B44" s="49">
        <f>B16</f>
        <v/>
      </c>
    </row>
    <row r="45">
      <c r="A45" s="5" t="inlineStr">
        <is>
          <t>- Minority Interest</t>
        </is>
      </c>
      <c r="B45" s="49">
        <f>B18</f>
        <v/>
      </c>
    </row>
    <row r="46">
      <c r="A46" s="2" t="inlineStr">
        <is>
          <t>Equity Value</t>
        </is>
      </c>
      <c r="B46" s="41">
        <f>B42+B43-B44-B45</f>
        <v/>
      </c>
    </row>
    <row r="47">
      <c r="A47" s="5" t="inlineStr">
        <is>
          <t>Number of Shares (crore, diluted)</t>
        </is>
      </c>
      <c r="B47" s="46">
        <f>B13</f>
        <v/>
      </c>
    </row>
    <row r="48">
      <c r="A48" s="62" t="inlineStr">
        <is>
          <t>INTRINSIC VALUE PER SHARE (Rs)</t>
        </is>
      </c>
      <c r="B48" s="45">
        <f>B46/B47</f>
        <v/>
      </c>
    </row>
    <row r="49">
      <c r="A49" s="5" t="inlineStr">
        <is>
          <t>Current Market Price (Rs)</t>
        </is>
      </c>
      <c r="B49" s="46">
        <f>B14</f>
        <v/>
      </c>
    </row>
    <row r="50">
      <c r="A50" s="2" t="inlineStr">
        <is>
          <t>Upside / (Downside) vs Market Price</t>
        </is>
      </c>
      <c r="B50" s="48">
        <f>B48/B49-1</f>
        <v/>
      </c>
    </row>
    <row r="51">
      <c r="A51" s="5" t="inlineStr">
        <is>
          <t>Implied EV / FY2026E EBITDA (x)</t>
        </is>
      </c>
      <c r="B51" s="63">
        <f>B42/E25</f>
        <v/>
      </c>
    </row>
    <row r="52">
      <c r="A52" s="5" t="inlineStr">
        <is>
          <t>Implied P/E on FY2026E EPS (x)</t>
        </is>
      </c>
      <c r="B52" s="63">
        <f>B48/'Income Statement'!E32</f>
        <v/>
      </c>
    </row>
    <row r="53">
      <c r="A53" s="5" t="inlineStr">
        <is>
          <t>PV of Terminal Value as % of EV</t>
        </is>
      </c>
      <c r="B53" s="47">
        <f>B41/B42</f>
        <v/>
      </c>
    </row>
    <row r="56">
      <c r="A56" s="26" t="inlineStr">
        <is>
          <t>SENSITIVITY: INTRINSIC VALUE PER SHARE (Rs)  -  WACC (rows) vs LONG TERM GROWTH (columns)</t>
        </is>
      </c>
      <c r="B56" s="27" t="n"/>
      <c r="C56" s="27" t="n"/>
      <c r="D56" s="27" t="n"/>
      <c r="E56" s="27" t="n"/>
      <c r="F56" s="27" t="n"/>
      <c r="G56" s="27" t="n"/>
    </row>
    <row r="57">
      <c r="A57" s="2" t="inlineStr">
        <is>
          <t>WACC \ growth</t>
        </is>
      </c>
      <c r="B57" s="64" t="n"/>
      <c r="C57" s="65">
        <f>$B$5-0.01</f>
        <v/>
      </c>
      <c r="D57" s="65">
        <f>$B$5-0.005</f>
        <v/>
      </c>
      <c r="E57" s="65">
        <f>$B$5</f>
        <v/>
      </c>
      <c r="F57" s="65">
        <f>$B$5+0.005</f>
        <v/>
      </c>
      <c r="G57" s="65">
        <f>$B$5+0.01</f>
        <v/>
      </c>
    </row>
    <row r="58">
      <c r="B58" s="66">
        <f>$B$11-0.01</f>
        <v/>
      </c>
      <c r="C58" s="67">
        <f>(E$33/(1+$B58)^1+F$33/(1+$B58)^2+G$33/(1+$B58)^3+H$33/(1+$B58)^4+I$33/(1+$B58)^5+$I$33*(1+C$57)/($B58-C$57)/(1+$B58)^5+$B$17-$B$16-$B$18)/$B$13</f>
        <v/>
      </c>
      <c r="D58" s="67">
        <f>(E$33/(1+$B58)^1+F$33/(1+$B58)^2+G$33/(1+$B58)^3+H$33/(1+$B58)^4+I$33/(1+$B58)^5+$I$33*(1+D$57)/($B58-D$57)/(1+$B58)^5+$B$17-$B$16-$B$18)/$B$13</f>
        <v/>
      </c>
      <c r="E58" s="67">
        <f>(E$33/(1+$B58)^1+F$33/(1+$B58)^2+G$33/(1+$B58)^3+H$33/(1+$B58)^4+I$33/(1+$B58)^5+$I$33*(1+E$57)/($B58-E$57)/(1+$B58)^5+$B$17-$B$16-$B$18)/$B$13</f>
        <v/>
      </c>
      <c r="F58" s="67">
        <f>(E$33/(1+$B58)^1+F$33/(1+$B58)^2+G$33/(1+$B58)^3+H$33/(1+$B58)^4+I$33/(1+$B58)^5+$I$33*(1+F$57)/($B58-F$57)/(1+$B58)^5+$B$17-$B$16-$B$18)/$B$13</f>
        <v/>
      </c>
      <c r="G58" s="67">
        <f>(E$33/(1+$B58)^1+F$33/(1+$B58)^2+G$33/(1+$B58)^3+H$33/(1+$B58)^4+I$33/(1+$B58)^5+$I$33*(1+G$57)/($B58-G$57)/(1+$B58)^5+$B$17-$B$16-$B$18)/$B$13</f>
        <v/>
      </c>
    </row>
    <row r="59">
      <c r="B59" s="66">
        <f>$B$11-0.005</f>
        <v/>
      </c>
      <c r="C59" s="67">
        <f>(E$33/(1+$B59)^1+F$33/(1+$B59)^2+G$33/(1+$B59)^3+H$33/(1+$B59)^4+I$33/(1+$B59)^5+$I$33*(1+C$57)/($B59-C$57)/(1+$B59)^5+$B$17-$B$16-$B$18)/$B$13</f>
        <v/>
      </c>
      <c r="D59" s="67">
        <f>(E$33/(1+$B59)^1+F$33/(1+$B59)^2+G$33/(1+$B59)^3+H$33/(1+$B59)^4+I$33/(1+$B59)^5+$I$33*(1+D$57)/($B59-D$57)/(1+$B59)^5+$B$17-$B$16-$B$18)/$B$13</f>
        <v/>
      </c>
      <c r="E59" s="67">
        <f>(E$33/(1+$B59)^1+F$33/(1+$B59)^2+G$33/(1+$B59)^3+H$33/(1+$B59)^4+I$33/(1+$B59)^5+$I$33*(1+E$57)/($B59-E$57)/(1+$B59)^5+$B$17-$B$16-$B$18)/$B$13</f>
        <v/>
      </c>
      <c r="F59" s="67">
        <f>(E$33/(1+$B59)^1+F$33/(1+$B59)^2+G$33/(1+$B59)^3+H$33/(1+$B59)^4+I$33/(1+$B59)^5+$I$33*(1+F$57)/($B59-F$57)/(1+$B59)^5+$B$17-$B$16-$B$18)/$B$13</f>
        <v/>
      </c>
      <c r="G59" s="67">
        <f>(E$33/(1+$B59)^1+F$33/(1+$B59)^2+G$33/(1+$B59)^3+H$33/(1+$B59)^4+I$33/(1+$B59)^5+$I$33*(1+G$57)/($B59-G$57)/(1+$B59)^5+$B$17-$B$16-$B$18)/$B$13</f>
        <v/>
      </c>
    </row>
    <row r="60">
      <c r="B60" s="66">
        <f>$B$11</f>
        <v/>
      </c>
      <c r="C60" s="67">
        <f>(E$33/(1+$B60)^1+F$33/(1+$B60)^2+G$33/(1+$B60)^3+H$33/(1+$B60)^4+I$33/(1+$B60)^5+$I$33*(1+C$57)/($B60-C$57)/(1+$B60)^5+$B$17-$B$16-$B$18)/$B$13</f>
        <v/>
      </c>
      <c r="D60" s="67">
        <f>(E$33/(1+$B60)^1+F$33/(1+$B60)^2+G$33/(1+$B60)^3+H$33/(1+$B60)^4+I$33/(1+$B60)^5+$I$33*(1+D$57)/($B60-D$57)/(1+$B60)^5+$B$17-$B$16-$B$18)/$B$13</f>
        <v/>
      </c>
      <c r="E60" s="68">
        <f>(E$33/(1+$B60)^1+F$33/(1+$B60)^2+G$33/(1+$B60)^3+H$33/(1+$B60)^4+I$33/(1+$B60)^5+$I$33*(1+E$57)/($B60-E$57)/(1+$B60)^5+$B$17-$B$16-$B$18)/$B$13</f>
        <v/>
      </c>
      <c r="F60" s="67">
        <f>(E$33/(1+$B60)^1+F$33/(1+$B60)^2+G$33/(1+$B60)^3+H$33/(1+$B60)^4+I$33/(1+$B60)^5+$I$33*(1+F$57)/($B60-F$57)/(1+$B60)^5+$B$17-$B$16-$B$18)/$B$13</f>
        <v/>
      </c>
      <c r="G60" s="67">
        <f>(E$33/(1+$B60)^1+F$33/(1+$B60)^2+G$33/(1+$B60)^3+H$33/(1+$B60)^4+I$33/(1+$B60)^5+$I$33*(1+G$57)/($B60-G$57)/(1+$B60)^5+$B$17-$B$16-$B$18)/$B$13</f>
        <v/>
      </c>
    </row>
    <row r="61">
      <c r="B61" s="66">
        <f>$B$11+0.005</f>
        <v/>
      </c>
      <c r="C61" s="67">
        <f>(E$33/(1+$B61)^1+F$33/(1+$B61)^2+G$33/(1+$B61)^3+H$33/(1+$B61)^4+I$33/(1+$B61)^5+$I$33*(1+C$57)/($B61-C$57)/(1+$B61)^5+$B$17-$B$16-$B$18)/$B$13</f>
        <v/>
      </c>
      <c r="D61" s="67">
        <f>(E$33/(1+$B61)^1+F$33/(1+$B61)^2+G$33/(1+$B61)^3+H$33/(1+$B61)^4+I$33/(1+$B61)^5+$I$33*(1+D$57)/($B61-D$57)/(1+$B61)^5+$B$17-$B$16-$B$18)/$B$13</f>
        <v/>
      </c>
      <c r="E61" s="67">
        <f>(E$33/(1+$B61)^1+F$33/(1+$B61)^2+G$33/(1+$B61)^3+H$33/(1+$B61)^4+I$33/(1+$B61)^5+$I$33*(1+E$57)/($B61-E$57)/(1+$B61)^5+$B$17-$B$16-$B$18)/$B$13</f>
        <v/>
      </c>
      <c r="F61" s="67">
        <f>(E$33/(1+$B61)^1+F$33/(1+$B61)^2+G$33/(1+$B61)^3+H$33/(1+$B61)^4+I$33/(1+$B61)^5+$I$33*(1+F$57)/($B61-F$57)/(1+$B61)^5+$B$17-$B$16-$B$18)/$B$13</f>
        <v/>
      </c>
      <c r="G61" s="67">
        <f>(E$33/(1+$B61)^1+F$33/(1+$B61)^2+G$33/(1+$B61)^3+H$33/(1+$B61)^4+I$33/(1+$B61)^5+$I$33*(1+G$57)/($B61-G$57)/(1+$B61)^5+$B$17-$B$16-$B$18)/$B$13</f>
        <v/>
      </c>
    </row>
    <row r="62">
      <c r="B62" s="66">
        <f>$B$11+0.01</f>
        <v/>
      </c>
      <c r="C62" s="67">
        <f>(E$33/(1+$B62)^1+F$33/(1+$B62)^2+G$33/(1+$B62)^3+H$33/(1+$B62)^4+I$33/(1+$B62)^5+$I$33*(1+C$57)/($B62-C$57)/(1+$B62)^5+$B$17-$B$16-$B$18)/$B$13</f>
        <v/>
      </c>
      <c r="D62" s="67">
        <f>(E$33/(1+$B62)^1+F$33/(1+$B62)^2+G$33/(1+$B62)^3+H$33/(1+$B62)^4+I$33/(1+$B62)^5+$I$33*(1+D$57)/($B62-D$57)/(1+$B62)^5+$B$17-$B$16-$B$18)/$B$13</f>
        <v/>
      </c>
      <c r="E62" s="67">
        <f>(E$33/(1+$B62)^1+F$33/(1+$B62)^2+G$33/(1+$B62)^3+H$33/(1+$B62)^4+I$33/(1+$B62)^5+$I$33*(1+E$57)/($B62-E$57)/(1+$B62)^5+$B$17-$B$16-$B$18)/$B$13</f>
        <v/>
      </c>
      <c r="F62" s="67">
        <f>(E$33/(1+$B62)^1+F$33/(1+$B62)^2+G$33/(1+$B62)^3+H$33/(1+$B62)^4+I$33/(1+$B62)^5+$I$33*(1+F$57)/($B62-F$57)/(1+$B62)^5+$B$17-$B$16-$B$18)/$B$13</f>
        <v/>
      </c>
      <c r="G62" s="67">
        <f>(E$33/(1+$B62)^1+F$33/(1+$B62)^2+G$33/(1+$B62)^3+H$33/(1+$B62)^4+I$33/(1+$B62)^5+$I$33*(1+G$57)/($B62-G$57)/(1+$B62)^5+$B$17-$B$16-$B$18)/$B$13</f>
        <v/>
      </c>
    </row>
    <row r="64">
      <c r="A64" s="3" t="inlineStr">
        <is>
          <t>Highlighted cell = Base case. The centre value equals the intrinsic value per share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2026-10-06T20:35:21Z</dcterms:created>
  <dcterms:modified xsi:type="dcterms:W3CDTF">2026-10-06T20:35:21Z</dcterms:modified>
</cp:coreProperties>
</file>