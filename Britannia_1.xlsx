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ink/ink1.xml" ContentType="application/inkml+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defaultThemeVersion="124226"/>
  <mc:AlternateContent xmlns:mc="http://schemas.openxmlformats.org/markup-compatibility/2006">
    <mc:Choice Requires="x15">
      <x15ac:absPath xmlns:x15ac="http://schemas.microsoft.com/office/spreadsheetml/2010/11/ac" url="C:\Users\devch\OneDrive\Desktop\wetransfer_britannia_1-xlsx_2022-08-10_0735\"/>
    </mc:Choice>
  </mc:AlternateContent>
  <bookViews>
    <workbookView xWindow="0" yWindow="0" windowWidth="23040" windowHeight="9780" tabRatio="832" activeTab="3"/>
  </bookViews>
  <sheets>
    <sheet name="Dashboard" sheetId="21" r:id="rId1"/>
    <sheet name="Company Overview" sheetId="11" r:id="rId2"/>
    <sheet name="Assumptions" sheetId="7" r:id="rId3"/>
    <sheet name="Income Statement" sheetId="22" r:id="rId4"/>
    <sheet name="Balance Sheet" sheetId="1" r:id="rId5"/>
    <sheet name="CFS" sheetId="5" r:id="rId6"/>
    <sheet name="Valuation 1" sheetId="24" r:id="rId7"/>
    <sheet name="Comps" sheetId="19" r:id="rId8"/>
    <sheet name="Comps - Consensus" sheetId="20" r:id="rId9"/>
  </sheets>
  <externalReferences>
    <externalReference r:id="rId10"/>
    <externalReference r:id="rId11"/>
    <externalReference r:id="rId12"/>
  </externalReferences>
  <definedNames>
    <definedName name="Adj_closing_price">OFFSET(#REF!,1,0,COUNT(#REF!),1)</definedName>
    <definedName name="cmdOK2_click">[1]!cmdOK2_click</definedName>
    <definedName name="Date">OFFSET(#REF!,1,0,COUNT(#REF!),1)</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42347.1874074074</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PAGE1">[2]GROMM!#REF!</definedName>
    <definedName name="PAGE2">#REF!</definedName>
    <definedName name="PE_band_1">OFFSET(#REF!,1,0,COUNT(#REF!),1)</definedName>
    <definedName name="PE_band_2">OFFSET(#REF!,1,0,COUNT(#REF!),1)</definedName>
    <definedName name="PE_band_3">OFFSET(#REF!,1,0,COUNT(#REF!),1)</definedName>
    <definedName name="PE_band_4">OFFSET(#REF!,1,0,COUNT(#REF!),1)</definedName>
    <definedName name="PE_band_5">OFFSET(#REF!,1,0,COUNT(#REF!),1)</definedName>
    <definedName name="Price">[1]Template!#REF!</definedName>
    <definedName name="Print_Area_MI">#REF!</definedName>
    <definedName name="startCompany">[1]Sheet1!#REF!</definedName>
    <definedName name="Units">#REF!</definedName>
  </definedNames>
  <calcPr calcId="191029" iterate="1"/>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B42" i="24" l="1"/>
  <c r="M35" i="24" s="1"/>
  <c r="B43" i="24" s="1"/>
  <c r="B44" i="24" s="1"/>
  <c r="B40" i="24"/>
  <c r="F38" i="24"/>
  <c r="G38" i="24"/>
  <c r="H38" i="24"/>
  <c r="I38" i="24"/>
  <c r="J38" i="24"/>
  <c r="K38" i="24"/>
  <c r="L38" i="24"/>
  <c r="F37" i="24"/>
  <c r="G37" i="24"/>
  <c r="H37" i="24"/>
  <c r="I37" i="24"/>
  <c r="J37" i="24"/>
  <c r="K37" i="24"/>
  <c r="L37" i="24"/>
  <c r="E37" i="24"/>
  <c r="E38" i="24" s="1"/>
  <c r="C35" i="24"/>
  <c r="D35" i="24"/>
  <c r="E35" i="24"/>
  <c r="F35" i="24"/>
  <c r="G35" i="24"/>
  <c r="H35" i="24"/>
  <c r="I35" i="24"/>
  <c r="J35" i="24"/>
  <c r="K35" i="24"/>
  <c r="L35" i="24"/>
  <c r="B35" i="24"/>
  <c r="F34" i="24"/>
  <c r="G34" i="24"/>
  <c r="H34" i="24"/>
  <c r="I34" i="24"/>
  <c r="J34" i="24"/>
  <c r="K34" i="24"/>
  <c r="L34" i="24"/>
  <c r="E34" i="24"/>
  <c r="B18" i="24"/>
  <c r="B17" i="24"/>
  <c r="B16" i="24"/>
  <c r="B15" i="24"/>
  <c r="B19" i="24" s="1"/>
  <c r="B13" i="24"/>
  <c r="B11" i="24"/>
  <c r="B7" i="24"/>
  <c r="E11" i="24"/>
  <c r="E10" i="24"/>
  <c r="E13" i="24"/>
  <c r="E12" i="24"/>
  <c r="E9" i="24"/>
  <c r="B10" i="24"/>
  <c r="B9" i="24"/>
  <c r="F35" i="5"/>
  <c r="G35" i="5"/>
  <c r="H35" i="5"/>
  <c r="I35" i="5"/>
  <c r="J35" i="5"/>
  <c r="K35" i="5"/>
  <c r="L35" i="5"/>
  <c r="E35" i="5"/>
  <c r="E68" i="5"/>
  <c r="F50" i="5"/>
  <c r="G50" i="5"/>
  <c r="H50" i="5"/>
  <c r="I50" i="5"/>
  <c r="J50" i="5"/>
  <c r="K50" i="5"/>
  <c r="L50" i="5"/>
  <c r="F54" i="5"/>
  <c r="G54" i="5"/>
  <c r="H54" i="5"/>
  <c r="I54" i="5"/>
  <c r="J54" i="5"/>
  <c r="K54" i="5"/>
  <c r="L54" i="5"/>
  <c r="F55" i="5"/>
  <c r="G55" i="5"/>
  <c r="H55" i="5"/>
  <c r="I55" i="5"/>
  <c r="J55" i="5"/>
  <c r="K55" i="5"/>
  <c r="L55" i="5"/>
  <c r="E55" i="5"/>
  <c r="F56" i="1"/>
  <c r="G56" i="1" s="1"/>
  <c r="H56" i="1" s="1"/>
  <c r="I56" i="1" s="1"/>
  <c r="J56" i="1" s="1"/>
  <c r="K56" i="1" s="1"/>
  <c r="L56" i="1" s="1"/>
  <c r="E56" i="1"/>
  <c r="F51" i="22"/>
  <c r="G51" i="22"/>
  <c r="H51" i="22"/>
  <c r="I51" i="22"/>
  <c r="J51" i="22"/>
  <c r="K51" i="22"/>
  <c r="L51" i="22"/>
  <c r="E51" i="22"/>
  <c r="F28" i="7"/>
  <c r="G28" i="7"/>
  <c r="H28" i="7"/>
  <c r="I28" i="7"/>
  <c r="J28" i="7"/>
  <c r="K28" i="7"/>
  <c r="L28" i="7"/>
  <c r="E28" i="7"/>
  <c r="C28" i="7"/>
  <c r="D28" i="7"/>
  <c r="B28" i="7"/>
  <c r="E50" i="5"/>
  <c r="F26" i="5"/>
  <c r="G26" i="5"/>
  <c r="H26" i="5"/>
  <c r="I26" i="5"/>
  <c r="J26" i="5"/>
  <c r="K26" i="5"/>
  <c r="L26" i="5"/>
  <c r="E26" i="5"/>
  <c r="E27" i="22"/>
  <c r="E40" i="5" s="1"/>
  <c r="C17" i="7"/>
  <c r="D17" i="7"/>
  <c r="B17" i="7"/>
  <c r="E17" i="7" s="1"/>
  <c r="E26" i="22" s="1"/>
  <c r="F58" i="1"/>
  <c r="G58" i="1"/>
  <c r="H58" i="1" s="1"/>
  <c r="I58" i="1" s="1"/>
  <c r="J58" i="1" s="1"/>
  <c r="K58" i="1" s="1"/>
  <c r="L58" i="1" s="1"/>
  <c r="E58" i="1"/>
  <c r="F55" i="1"/>
  <c r="G55" i="1"/>
  <c r="H55" i="1" s="1"/>
  <c r="I55" i="1" s="1"/>
  <c r="J55" i="1" s="1"/>
  <c r="K55" i="1" s="1"/>
  <c r="L55" i="1" s="1"/>
  <c r="E55" i="1"/>
  <c r="F41" i="1"/>
  <c r="G41" i="1"/>
  <c r="H41" i="1" s="1"/>
  <c r="I41" i="1" s="1"/>
  <c r="J41" i="1" s="1"/>
  <c r="K41" i="1" s="1"/>
  <c r="L41" i="1" s="1"/>
  <c r="F42" i="1"/>
  <c r="G42" i="1" s="1"/>
  <c r="H42" i="1" s="1"/>
  <c r="I42" i="1" s="1"/>
  <c r="J42" i="1" s="1"/>
  <c r="K42" i="1" s="1"/>
  <c r="L42" i="1" s="1"/>
  <c r="F40" i="1"/>
  <c r="G40" i="1"/>
  <c r="H40" i="1" s="1"/>
  <c r="I40" i="1" s="1"/>
  <c r="J40" i="1" s="1"/>
  <c r="K40" i="1" s="1"/>
  <c r="L40" i="1" s="1"/>
  <c r="E42" i="1"/>
  <c r="E41" i="1"/>
  <c r="E40" i="1"/>
  <c r="E38" i="1"/>
  <c r="F38" i="1" s="1"/>
  <c r="G38" i="1" s="1"/>
  <c r="H38" i="1" s="1"/>
  <c r="I38" i="1" s="1"/>
  <c r="J38" i="1" s="1"/>
  <c r="K38" i="1" s="1"/>
  <c r="L38" i="1" s="1"/>
  <c r="F45" i="1"/>
  <c r="G45" i="1" s="1"/>
  <c r="H45" i="1" s="1"/>
  <c r="I45" i="1" s="1"/>
  <c r="J45" i="1" s="1"/>
  <c r="K45" i="1" s="1"/>
  <c r="L45" i="1" s="1"/>
  <c r="E45" i="1"/>
  <c r="C26" i="7"/>
  <c r="D26" i="7"/>
  <c r="B26" i="7"/>
  <c r="F48" i="1"/>
  <c r="G48" i="1"/>
  <c r="H48" i="1"/>
  <c r="I48" i="1"/>
  <c r="J48" i="1"/>
  <c r="K48" i="1"/>
  <c r="L48" i="1" s="1"/>
  <c r="E48" i="1"/>
  <c r="F47" i="1"/>
  <c r="G47" i="1" s="1"/>
  <c r="H47" i="1" s="1"/>
  <c r="I47" i="1" s="1"/>
  <c r="J47" i="1" s="1"/>
  <c r="K47" i="1" s="1"/>
  <c r="L47" i="1" s="1"/>
  <c r="E47" i="1"/>
  <c r="F46" i="1"/>
  <c r="G46" i="1"/>
  <c r="H46" i="1" s="1"/>
  <c r="I46" i="1" s="1"/>
  <c r="J46" i="1" s="1"/>
  <c r="K46" i="1" s="1"/>
  <c r="L46" i="1" s="1"/>
  <c r="E46" i="1"/>
  <c r="F15" i="1"/>
  <c r="G15" i="1" s="1"/>
  <c r="H15" i="1" s="1"/>
  <c r="I15" i="1" s="1"/>
  <c r="J15" i="1" s="1"/>
  <c r="K15" i="1" s="1"/>
  <c r="L15" i="1" s="1"/>
  <c r="E15" i="1"/>
  <c r="F14" i="1"/>
  <c r="G14" i="1" s="1"/>
  <c r="H14" i="1" s="1"/>
  <c r="I14" i="1" s="1"/>
  <c r="J14" i="1" s="1"/>
  <c r="K14" i="1" s="1"/>
  <c r="L14" i="1" s="1"/>
  <c r="E14" i="1"/>
  <c r="F13" i="1"/>
  <c r="G13" i="1"/>
  <c r="H13" i="1"/>
  <c r="I13" i="1"/>
  <c r="J13" i="1" s="1"/>
  <c r="K13" i="1" s="1"/>
  <c r="L13" i="1" s="1"/>
  <c r="E13" i="1"/>
  <c r="F10" i="1"/>
  <c r="G10" i="1"/>
  <c r="H10" i="1"/>
  <c r="I10" i="1"/>
  <c r="J10" i="1" s="1"/>
  <c r="K10" i="1" s="1"/>
  <c r="L10" i="1" s="1"/>
  <c r="E10" i="1"/>
  <c r="F9" i="1"/>
  <c r="G9" i="1"/>
  <c r="H9" i="1" s="1"/>
  <c r="I9" i="1" s="1"/>
  <c r="J9" i="1" s="1"/>
  <c r="K9" i="1" s="1"/>
  <c r="L9" i="1" s="1"/>
  <c r="E27" i="1"/>
  <c r="F27" i="1"/>
  <c r="G27" i="1"/>
  <c r="H27" i="1"/>
  <c r="I27" i="1" s="1"/>
  <c r="J27" i="1" s="1"/>
  <c r="K27" i="1" s="1"/>
  <c r="L27" i="1" s="1"/>
  <c r="F25" i="1"/>
  <c r="G25" i="1" s="1"/>
  <c r="H25" i="1" s="1"/>
  <c r="I25" i="1" s="1"/>
  <c r="J25" i="1" s="1"/>
  <c r="K25" i="1" s="1"/>
  <c r="L25" i="1" s="1"/>
  <c r="E25" i="1"/>
  <c r="F29" i="1"/>
  <c r="G29" i="1" s="1"/>
  <c r="H29" i="1" s="1"/>
  <c r="I29" i="1" s="1"/>
  <c r="J29" i="1" s="1"/>
  <c r="K29" i="1" s="1"/>
  <c r="L29" i="1" s="1"/>
  <c r="F30" i="1"/>
  <c r="G30" i="1"/>
  <c r="H30" i="1" s="1"/>
  <c r="I30" i="1" s="1"/>
  <c r="J30" i="1" s="1"/>
  <c r="K30" i="1" s="1"/>
  <c r="L30" i="1" s="1"/>
  <c r="E30" i="1"/>
  <c r="E29" i="1"/>
  <c r="F28" i="1"/>
  <c r="G28" i="1"/>
  <c r="H28" i="1" s="1"/>
  <c r="I28" i="1" s="1"/>
  <c r="J28" i="1" s="1"/>
  <c r="K28" i="1" s="1"/>
  <c r="L28" i="1" s="1"/>
  <c r="E28" i="1"/>
  <c r="F26" i="1"/>
  <c r="G26" i="1"/>
  <c r="H26" i="1"/>
  <c r="I26" i="1"/>
  <c r="J26" i="1"/>
  <c r="K26" i="1"/>
  <c r="L26" i="1" s="1"/>
  <c r="E26" i="1"/>
  <c r="F23" i="1"/>
  <c r="G23" i="1" s="1"/>
  <c r="H23" i="1" s="1"/>
  <c r="I23" i="1" s="1"/>
  <c r="J23" i="1" s="1"/>
  <c r="K23" i="1" s="1"/>
  <c r="L23" i="1" s="1"/>
  <c r="E23" i="1"/>
  <c r="F22" i="1"/>
  <c r="G22" i="1"/>
  <c r="H22" i="1"/>
  <c r="I22" i="1" s="1"/>
  <c r="J22" i="1" s="1"/>
  <c r="K22" i="1" s="1"/>
  <c r="L22" i="1" s="1"/>
  <c r="E22" i="1"/>
  <c r="E57" i="7"/>
  <c r="E50" i="7"/>
  <c r="E42" i="7"/>
  <c r="E32" i="7"/>
  <c r="C22" i="7"/>
  <c r="D22" i="7"/>
  <c r="B22" i="7"/>
  <c r="E22" i="7" s="1"/>
  <c r="C55" i="7"/>
  <c r="D55" i="7"/>
  <c r="B55" i="7"/>
  <c r="C21" i="7"/>
  <c r="D21" i="7"/>
  <c r="B21" i="7"/>
  <c r="E21" i="7" s="1"/>
  <c r="C39" i="7"/>
  <c r="D39" i="7"/>
  <c r="B39" i="7"/>
  <c r="B46" i="7"/>
  <c r="C46" i="7"/>
  <c r="B38" i="7"/>
  <c r="C38" i="7"/>
  <c r="D46" i="7"/>
  <c r="D38" i="7"/>
  <c r="F45" i="22"/>
  <c r="G45" i="22" s="1"/>
  <c r="H45" i="22" s="1"/>
  <c r="I45" i="22" s="1"/>
  <c r="J45" i="22" s="1"/>
  <c r="K45" i="22" s="1"/>
  <c r="L45" i="22" s="1"/>
  <c r="E46" i="22"/>
  <c r="F46" i="22" s="1"/>
  <c r="G46" i="22" s="1"/>
  <c r="H46" i="22" s="1"/>
  <c r="I46" i="22" s="1"/>
  <c r="J46" i="22" s="1"/>
  <c r="K46" i="22" s="1"/>
  <c r="L46" i="22" s="1"/>
  <c r="E45" i="22"/>
  <c r="E42" i="22"/>
  <c r="F42" i="22" s="1"/>
  <c r="G42" i="22" s="1"/>
  <c r="H42" i="22" s="1"/>
  <c r="I42" i="22" s="1"/>
  <c r="J42" i="22" s="1"/>
  <c r="K42" i="22" s="1"/>
  <c r="L42" i="22" s="1"/>
  <c r="E7" i="22"/>
  <c r="C9" i="7"/>
  <c r="D9" i="7"/>
  <c r="C10" i="7"/>
  <c r="D10" i="7"/>
  <c r="C11" i="7"/>
  <c r="D11" i="7"/>
  <c r="C12" i="7"/>
  <c r="D12" i="7"/>
  <c r="B10" i="7"/>
  <c r="B11" i="7"/>
  <c r="B12" i="7"/>
  <c r="B9" i="7"/>
  <c r="A10" i="7"/>
  <c r="A11" i="7"/>
  <c r="A12" i="7"/>
  <c r="A13" i="7"/>
  <c r="A9" i="7"/>
  <c r="D19" i="22"/>
  <c r="D22" i="22" s="1"/>
  <c r="C19" i="22"/>
  <c r="C22" i="22" s="1"/>
  <c r="B19" i="22"/>
  <c r="B13" i="7" s="1"/>
  <c r="F17" i="7" l="1"/>
  <c r="E26" i="7"/>
  <c r="F26" i="7" s="1"/>
  <c r="G26" i="7" s="1"/>
  <c r="H26" i="7" s="1"/>
  <c r="E54" i="5"/>
  <c r="E19" i="5"/>
  <c r="G17" i="7"/>
  <c r="G26" i="22" s="1"/>
  <c r="G19" i="5" s="1"/>
  <c r="F26" i="22"/>
  <c r="F19" i="5" s="1"/>
  <c r="F22" i="7"/>
  <c r="D13" i="7"/>
  <c r="F21" i="7"/>
  <c r="C13" i="7"/>
  <c r="E13" i="7" s="1"/>
  <c r="F13" i="7" s="1"/>
  <c r="G13" i="7" s="1"/>
  <c r="B22" i="22"/>
  <c r="F27" i="22"/>
  <c r="E12" i="7"/>
  <c r="F12" i="7" s="1"/>
  <c r="G12" i="7" s="1"/>
  <c r="E15" i="5"/>
  <c r="E11" i="7"/>
  <c r="F11" i="7" s="1"/>
  <c r="G11" i="7" s="1"/>
  <c r="E9" i="7"/>
  <c r="F9" i="7" s="1"/>
  <c r="G9" i="7" s="1"/>
  <c r="H9" i="7" s="1"/>
  <c r="E10" i="7"/>
  <c r="E16" i="22" s="1"/>
  <c r="E51" i="1"/>
  <c r="F51" i="1"/>
  <c r="G51" i="1"/>
  <c r="H51" i="1"/>
  <c r="I51" i="1"/>
  <c r="J51" i="1"/>
  <c r="K51" i="1"/>
  <c r="L51" i="1"/>
  <c r="B61" i="7"/>
  <c r="C57" i="7" s="1"/>
  <c r="C61" i="7" s="1"/>
  <c r="D57" i="7" s="1"/>
  <c r="D61" i="7" s="1"/>
  <c r="B54" i="7"/>
  <c r="E27" i="24"/>
  <c r="E65" i="5"/>
  <c r="F65" i="5"/>
  <c r="G65" i="5"/>
  <c r="H65" i="5"/>
  <c r="I65" i="5"/>
  <c r="J65" i="5"/>
  <c r="K65" i="5"/>
  <c r="L65" i="5"/>
  <c r="C68" i="5"/>
  <c r="D68" i="5"/>
  <c r="B68" i="5"/>
  <c r="C47" i="5"/>
  <c r="D47" i="5"/>
  <c r="B47" i="5"/>
  <c r="C34" i="24"/>
  <c r="D34" i="24"/>
  <c r="B34" i="24"/>
  <c r="C33" i="24"/>
  <c r="D33" i="24"/>
  <c r="B33" i="24"/>
  <c r="C27" i="24"/>
  <c r="D27" i="24"/>
  <c r="B27" i="24"/>
  <c r="C26" i="24"/>
  <c r="D26" i="24"/>
  <c r="E26" i="24"/>
  <c r="F26" i="24"/>
  <c r="G26" i="24"/>
  <c r="H26" i="24"/>
  <c r="I26" i="24"/>
  <c r="J26" i="24"/>
  <c r="K26" i="24"/>
  <c r="L26" i="24"/>
  <c r="B26" i="24"/>
  <c r="A1" i="24"/>
  <c r="E18" i="22" l="1"/>
  <c r="E17" i="22"/>
  <c r="H17" i="7"/>
  <c r="H26" i="22" s="1"/>
  <c r="H19" i="5" s="1"/>
  <c r="I26" i="7"/>
  <c r="G21" i="7"/>
  <c r="G27" i="22"/>
  <c r="F40" i="5"/>
  <c r="F15" i="5"/>
  <c r="G22" i="7"/>
  <c r="H22" i="7" s="1"/>
  <c r="I17" i="7"/>
  <c r="I26" i="22" s="1"/>
  <c r="I19" i="5" s="1"/>
  <c r="J26" i="7"/>
  <c r="E19" i="22"/>
  <c r="E15" i="22"/>
  <c r="H11" i="7"/>
  <c r="I11" i="7" s="1"/>
  <c r="J11" i="7" s="1"/>
  <c r="K11" i="7" s="1"/>
  <c r="H12" i="7"/>
  <c r="I12" i="7" s="1"/>
  <c r="J12" i="7" s="1"/>
  <c r="G10" i="7"/>
  <c r="H10" i="7" s="1"/>
  <c r="H13" i="7"/>
  <c r="I13" i="7" s="1"/>
  <c r="I9" i="7"/>
  <c r="F10" i="7"/>
  <c r="F7" i="22"/>
  <c r="E8" i="22"/>
  <c r="E90" i="22"/>
  <c r="E88" i="22"/>
  <c r="E87" i="22"/>
  <c r="E86" i="22"/>
  <c r="E85" i="22"/>
  <c r="E82" i="22"/>
  <c r="E81" i="22"/>
  <c r="E78" i="22"/>
  <c r="E77" i="22"/>
  <c r="E75" i="22"/>
  <c r="E70" i="22"/>
  <c r="E69" i="22"/>
  <c r="E68" i="22"/>
  <c r="E67" i="22"/>
  <c r="E66" i="22"/>
  <c r="E65" i="22"/>
  <c r="E61" i="22"/>
  <c r="E60" i="22"/>
  <c r="E59" i="22"/>
  <c r="E56" i="22"/>
  <c r="E28" i="24"/>
  <c r="B62" i="7"/>
  <c r="D47" i="7"/>
  <c r="C47" i="7"/>
  <c r="B47" i="7"/>
  <c r="C50" i="7"/>
  <c r="C54" i="7" s="1"/>
  <c r="C28" i="24"/>
  <c r="D28" i="24"/>
  <c r="H21" i="7" l="1"/>
  <c r="K26" i="7"/>
  <c r="L26" i="7" s="1"/>
  <c r="E22" i="22"/>
  <c r="E71" i="22" s="1"/>
  <c r="H27" i="22"/>
  <c r="G40" i="5"/>
  <c r="G15" i="5"/>
  <c r="I22" i="7"/>
  <c r="J17" i="7"/>
  <c r="K12" i="7"/>
  <c r="L12" i="7" s="1"/>
  <c r="E64" i="22"/>
  <c r="E57" i="22"/>
  <c r="J13" i="7"/>
  <c r="K13" i="7" s="1"/>
  <c r="L13" i="7" s="1"/>
  <c r="L11" i="7"/>
  <c r="F15" i="22"/>
  <c r="F64" i="22" s="1"/>
  <c r="F16" i="22"/>
  <c r="F65" i="22" s="1"/>
  <c r="F17" i="22"/>
  <c r="F66" i="22" s="1"/>
  <c r="F18" i="22"/>
  <c r="F67" i="22" s="1"/>
  <c r="F19" i="22"/>
  <c r="F68" i="22" s="1"/>
  <c r="I10" i="7"/>
  <c r="J10" i="7" s="1"/>
  <c r="J9" i="7"/>
  <c r="K9" i="7" s="1"/>
  <c r="L9" i="7" s="1"/>
  <c r="G7" i="22"/>
  <c r="F70" i="22"/>
  <c r="F81" i="22"/>
  <c r="F86" i="22"/>
  <c r="F88" i="22"/>
  <c r="F90" i="22"/>
  <c r="F56" i="22"/>
  <c r="F59" i="22"/>
  <c r="F60" i="22"/>
  <c r="F61" i="22"/>
  <c r="F69" i="22"/>
  <c r="F75" i="22"/>
  <c r="F77" i="22"/>
  <c r="F78" i="22"/>
  <c r="F82" i="22"/>
  <c r="F85" i="22"/>
  <c r="F87" i="22"/>
  <c r="F8" i="22"/>
  <c r="F27" i="24"/>
  <c r="F28" i="24" s="1"/>
  <c r="C62" i="7"/>
  <c r="D50" i="7"/>
  <c r="D54" i="7" s="1"/>
  <c r="D62" i="7" s="1"/>
  <c r="I21" i="7" l="1"/>
  <c r="J22" i="7"/>
  <c r="I27" i="22"/>
  <c r="H15" i="5"/>
  <c r="H40" i="5"/>
  <c r="K17" i="7"/>
  <c r="K26" i="22" s="1"/>
  <c r="K19" i="5" s="1"/>
  <c r="J26" i="22"/>
  <c r="J19" i="5" s="1"/>
  <c r="L17" i="7"/>
  <c r="L26" i="22" s="1"/>
  <c r="L19" i="5" s="1"/>
  <c r="G15" i="22"/>
  <c r="G64" i="22" s="1"/>
  <c r="G16" i="22"/>
  <c r="G65" i="22" s="1"/>
  <c r="G17" i="22"/>
  <c r="G66" i="22" s="1"/>
  <c r="G18" i="22"/>
  <c r="G67" i="22" s="1"/>
  <c r="G19" i="22"/>
  <c r="G68" i="22" s="1"/>
  <c r="K10" i="7"/>
  <c r="L10" i="7" s="1"/>
  <c r="F57" i="22"/>
  <c r="F22" i="22"/>
  <c r="F71" i="22" s="1"/>
  <c r="G56" i="22"/>
  <c r="G59" i="22"/>
  <c r="G60" i="22"/>
  <c r="G61" i="22"/>
  <c r="G69" i="22"/>
  <c r="G70" i="22"/>
  <c r="G75" i="22"/>
  <c r="G77" i="22"/>
  <c r="G78" i="22"/>
  <c r="G81" i="22"/>
  <c r="G82" i="22"/>
  <c r="G85" i="22"/>
  <c r="G86" i="22"/>
  <c r="G87" i="22"/>
  <c r="G88" i="22"/>
  <c r="G90" i="22"/>
  <c r="G8" i="22"/>
  <c r="G27" i="24"/>
  <c r="G28" i="24" s="1"/>
  <c r="H7" i="22"/>
  <c r="J27" i="22" l="1"/>
  <c r="I15" i="5"/>
  <c r="I40" i="5"/>
  <c r="J21" i="7"/>
  <c r="K22" i="7"/>
  <c r="H16" i="22"/>
  <c r="H65" i="22" s="1"/>
  <c r="H17" i="22"/>
  <c r="H66" i="22" s="1"/>
  <c r="H18" i="22"/>
  <c r="H67" i="22" s="1"/>
  <c r="H19" i="22"/>
  <c r="H68" i="22" s="1"/>
  <c r="H15" i="22"/>
  <c r="H64" i="22" s="1"/>
  <c r="G57" i="22"/>
  <c r="G22" i="22"/>
  <c r="G71" i="22" s="1"/>
  <c r="H56" i="22"/>
  <c r="H59" i="22"/>
  <c r="H60" i="22"/>
  <c r="H61" i="22"/>
  <c r="H69" i="22"/>
  <c r="H70" i="22"/>
  <c r="H75" i="22"/>
  <c r="H77" i="22"/>
  <c r="H78" i="22"/>
  <c r="H81" i="22"/>
  <c r="H82" i="22"/>
  <c r="H85" i="22"/>
  <c r="H86" i="22"/>
  <c r="H87" i="22"/>
  <c r="H88" i="22"/>
  <c r="H90" i="22"/>
  <c r="H8" i="22"/>
  <c r="H27" i="24"/>
  <c r="H28" i="24" s="1"/>
  <c r="I7" i="22"/>
  <c r="K21" i="7" l="1"/>
  <c r="K27" i="22"/>
  <c r="J40" i="5"/>
  <c r="J15" i="5"/>
  <c r="L22" i="7"/>
  <c r="H57" i="22"/>
  <c r="I15" i="22"/>
  <c r="I16" i="22"/>
  <c r="I65" i="22" s="1"/>
  <c r="I17" i="22"/>
  <c r="I66" i="22" s="1"/>
  <c r="I18" i="22"/>
  <c r="I67" i="22" s="1"/>
  <c r="I19" i="22"/>
  <c r="I68" i="22" s="1"/>
  <c r="H22" i="22"/>
  <c r="H71" i="22" s="1"/>
  <c r="I56" i="22"/>
  <c r="I59" i="22"/>
  <c r="I60" i="22"/>
  <c r="I61" i="22"/>
  <c r="I69" i="22"/>
  <c r="I70" i="22"/>
  <c r="I75" i="22"/>
  <c r="I77" i="22"/>
  <c r="I78" i="22"/>
  <c r="I81" i="22"/>
  <c r="I82" i="22"/>
  <c r="I85" i="22"/>
  <c r="I86" i="22"/>
  <c r="I87" i="22"/>
  <c r="I88" i="22"/>
  <c r="I90" i="22"/>
  <c r="I8" i="22"/>
  <c r="I27" i="24"/>
  <c r="I28" i="24" s="1"/>
  <c r="J7" i="22"/>
  <c r="L27" i="22" l="1"/>
  <c r="K40" i="5"/>
  <c r="K15" i="5"/>
  <c r="L21" i="7"/>
  <c r="I22" i="22"/>
  <c r="I71" i="22" s="1"/>
  <c r="I64" i="22"/>
  <c r="J15" i="22"/>
  <c r="J64" i="22" s="1"/>
  <c r="J16" i="22"/>
  <c r="J65" i="22" s="1"/>
  <c r="J17" i="22"/>
  <c r="J66" i="22" s="1"/>
  <c r="J18" i="22"/>
  <c r="J67" i="22" s="1"/>
  <c r="J19" i="22"/>
  <c r="J68" i="22" s="1"/>
  <c r="I57" i="22"/>
  <c r="J81" i="22"/>
  <c r="J86" i="22"/>
  <c r="J70" i="22"/>
  <c r="J77" i="22"/>
  <c r="J88" i="22"/>
  <c r="J8" i="22"/>
  <c r="J56" i="22"/>
  <c r="J61" i="22"/>
  <c r="J69" i="22"/>
  <c r="J75" i="22"/>
  <c r="J78" i="22"/>
  <c r="J82" i="22"/>
  <c r="J87" i="22"/>
  <c r="J90" i="22"/>
  <c r="J59" i="22"/>
  <c r="J60" i="22"/>
  <c r="J85" i="22"/>
  <c r="J27" i="24"/>
  <c r="J28" i="24" s="1"/>
  <c r="K7" i="22"/>
  <c r="L40" i="5" l="1"/>
  <c r="L15" i="5"/>
  <c r="K16" i="22"/>
  <c r="K65" i="22" s="1"/>
  <c r="K17" i="22"/>
  <c r="K66" i="22" s="1"/>
  <c r="K18" i="22"/>
  <c r="K67" i="22" s="1"/>
  <c r="K19" i="22"/>
  <c r="K68" i="22" s="1"/>
  <c r="K15" i="22"/>
  <c r="J57" i="22"/>
  <c r="J22" i="22"/>
  <c r="J71" i="22" s="1"/>
  <c r="K56" i="22"/>
  <c r="K59" i="22"/>
  <c r="K60" i="22"/>
  <c r="K61" i="22"/>
  <c r="K69" i="22"/>
  <c r="K70" i="22"/>
  <c r="K75" i="22"/>
  <c r="K77" i="22"/>
  <c r="K78" i="22"/>
  <c r="K81" i="22"/>
  <c r="K82" i="22"/>
  <c r="K85" i="22"/>
  <c r="K86" i="22"/>
  <c r="K87" i="22"/>
  <c r="K88" i="22"/>
  <c r="K90" i="22"/>
  <c r="K8" i="22"/>
  <c r="L7" i="22"/>
  <c r="K27" i="24"/>
  <c r="K28" i="24" s="1"/>
  <c r="C53" i="11"/>
  <c r="C26" i="21"/>
  <c r="D26" i="21"/>
  <c r="E26" i="21"/>
  <c r="F26" i="21"/>
  <c r="B26" i="21"/>
  <c r="C24" i="21"/>
  <c r="C43" i="21" s="1"/>
  <c r="D24" i="21"/>
  <c r="D43" i="21" s="1"/>
  <c r="E24" i="21"/>
  <c r="E43" i="21" s="1"/>
  <c r="F24" i="21"/>
  <c r="F43" i="21" s="1"/>
  <c r="B24" i="21"/>
  <c r="B43" i="21" s="1"/>
  <c r="B9" i="21"/>
  <c r="D39" i="1"/>
  <c r="C39" i="1"/>
  <c r="B39" i="1"/>
  <c r="D37" i="1"/>
  <c r="D53" i="11" s="1"/>
  <c r="C37" i="1"/>
  <c r="B37" i="1"/>
  <c r="B53" i="11" s="1"/>
  <c r="C30" i="1"/>
  <c r="B30" i="1"/>
  <c r="D26" i="1"/>
  <c r="K22" i="22" l="1"/>
  <c r="K71" i="22" s="1"/>
  <c r="L15" i="22"/>
  <c r="L64" i="22" s="1"/>
  <c r="L16" i="22"/>
  <c r="L65" i="22" s="1"/>
  <c r="L17" i="22"/>
  <c r="L66" i="22" s="1"/>
  <c r="L19" i="22"/>
  <c r="L68" i="22" s="1"/>
  <c r="L18" i="22"/>
  <c r="L67" i="22" s="1"/>
  <c r="K57" i="22"/>
  <c r="K64" i="22"/>
  <c r="L27" i="24"/>
  <c r="L28" i="24" s="1"/>
  <c r="L56" i="22"/>
  <c r="L59" i="22"/>
  <c r="L60" i="22"/>
  <c r="L61" i="22"/>
  <c r="L69" i="22"/>
  <c r="L70" i="22"/>
  <c r="L75" i="22"/>
  <c r="L77" i="22"/>
  <c r="L78" i="22"/>
  <c r="L81" i="22"/>
  <c r="L82" i="22"/>
  <c r="L85" i="22"/>
  <c r="L86" i="22"/>
  <c r="L87" i="22"/>
  <c r="L88" i="22"/>
  <c r="L90" i="22"/>
  <c r="L8" i="22"/>
  <c r="L57" i="22" l="1"/>
  <c r="L22" i="22"/>
  <c r="L71" i="22" s="1"/>
  <c r="C51" i="11"/>
  <c r="D51" i="11"/>
  <c r="B51" i="11"/>
  <c r="C41" i="11"/>
  <c r="C46" i="11" s="1"/>
  <c r="D41" i="11"/>
  <c r="D46" i="11" s="1"/>
  <c r="B41" i="11"/>
  <c r="B46" i="11" s="1"/>
  <c r="E36" i="11"/>
  <c r="F36" i="11"/>
  <c r="G36" i="11"/>
  <c r="H36" i="11"/>
  <c r="I36" i="11"/>
  <c r="J36" i="11"/>
  <c r="K36" i="11"/>
  <c r="L36" i="11"/>
  <c r="E35" i="11"/>
  <c r="F35" i="11"/>
  <c r="G35" i="11"/>
  <c r="H35" i="11"/>
  <c r="I35" i="11"/>
  <c r="J35" i="11"/>
  <c r="K35" i="11"/>
  <c r="L35" i="11"/>
  <c r="E22" i="11"/>
  <c r="F22" i="11"/>
  <c r="G22" i="11"/>
  <c r="H22" i="11"/>
  <c r="I22" i="11"/>
  <c r="J22" i="11"/>
  <c r="K22" i="11"/>
  <c r="L22" i="11"/>
  <c r="C19" i="11"/>
  <c r="D19" i="11"/>
  <c r="B19" i="11"/>
  <c r="C18" i="11"/>
  <c r="D18" i="11"/>
  <c r="E18" i="11"/>
  <c r="F18" i="11"/>
  <c r="G18" i="11"/>
  <c r="H18" i="11"/>
  <c r="I18" i="11"/>
  <c r="J18" i="11"/>
  <c r="K18" i="11"/>
  <c r="L18" i="11"/>
  <c r="B18" i="11"/>
  <c r="C17" i="11"/>
  <c r="D17" i="11"/>
  <c r="E17" i="11"/>
  <c r="F17" i="11"/>
  <c r="G17" i="11"/>
  <c r="H17" i="11"/>
  <c r="I17" i="11"/>
  <c r="J17" i="11"/>
  <c r="K17" i="11"/>
  <c r="L17" i="11"/>
  <c r="B17" i="11"/>
  <c r="C15" i="11"/>
  <c r="D15" i="11"/>
  <c r="B15" i="11"/>
  <c r="C14" i="11"/>
  <c r="D14" i="11"/>
  <c r="B14" i="11"/>
  <c r="C7" i="11"/>
  <c r="D7" i="11"/>
  <c r="E7" i="11"/>
  <c r="F7" i="11"/>
  <c r="G7" i="11"/>
  <c r="H7" i="11"/>
  <c r="I7" i="11"/>
  <c r="J7" i="11"/>
  <c r="K7" i="11"/>
  <c r="L7" i="11"/>
  <c r="B7" i="11"/>
  <c r="D7" i="7"/>
  <c r="D22" i="11" s="1"/>
  <c r="C7" i="7"/>
  <c r="C22" i="11" s="1"/>
  <c r="O10" i="19"/>
  <c r="O9" i="19"/>
  <c r="O8" i="19"/>
  <c r="O7" i="19"/>
  <c r="O6" i="19"/>
  <c r="O5" i="19"/>
  <c r="O4" i="19"/>
  <c r="O3" i="19"/>
  <c r="L10" i="19"/>
  <c r="L9" i="19"/>
  <c r="L8" i="19"/>
  <c r="L7" i="19"/>
  <c r="L6" i="19"/>
  <c r="L5" i="19"/>
  <c r="L3" i="19"/>
  <c r="I3" i="19"/>
  <c r="I10" i="19"/>
  <c r="I9" i="19"/>
  <c r="I8" i="19"/>
  <c r="I7" i="19"/>
  <c r="I6" i="19"/>
  <c r="I5" i="19"/>
  <c r="I4" i="19"/>
  <c r="C65" i="5" l="1"/>
  <c r="D65" i="5"/>
  <c r="B65" i="5"/>
  <c r="C30" i="5"/>
  <c r="C32" i="5" s="1"/>
  <c r="D30" i="5"/>
  <c r="D32" i="5" s="1"/>
  <c r="B30" i="5"/>
  <c r="B32" i="5" s="1"/>
  <c r="B71" i="5" s="1"/>
  <c r="C69" i="5" s="1"/>
  <c r="B5" i="5"/>
  <c r="C5" i="5"/>
  <c r="D5" i="5"/>
  <c r="E5" i="5"/>
  <c r="F5" i="5"/>
  <c r="G5" i="5"/>
  <c r="H5" i="5"/>
  <c r="I5" i="5"/>
  <c r="J5" i="5"/>
  <c r="K5" i="5"/>
  <c r="L5" i="5"/>
  <c r="A5" i="5"/>
  <c r="A120" i="1"/>
  <c r="A121" i="1"/>
  <c r="A122" i="1"/>
  <c r="A70" i="1"/>
  <c r="A71" i="1"/>
  <c r="A72" i="1"/>
  <c r="A73" i="1"/>
  <c r="A74" i="1"/>
  <c r="A75" i="1"/>
  <c r="A76" i="1"/>
  <c r="A77" i="1"/>
  <c r="A78" i="1"/>
  <c r="A79" i="1"/>
  <c r="A80" i="1"/>
  <c r="A82" i="1"/>
  <c r="A83" i="1"/>
  <c r="A84" i="1"/>
  <c r="A85" i="1"/>
  <c r="A86" i="1"/>
  <c r="A87" i="1"/>
  <c r="A88" i="1"/>
  <c r="A89" i="1"/>
  <c r="A90" i="1"/>
  <c r="A91" i="1"/>
  <c r="A92" i="1"/>
  <c r="A93" i="1"/>
  <c r="A94" i="1"/>
  <c r="A95" i="1"/>
  <c r="A97" i="1"/>
  <c r="A99" i="1"/>
  <c r="A100" i="1"/>
  <c r="A101" i="1"/>
  <c r="A102" i="1"/>
  <c r="A103" i="1"/>
  <c r="A104" i="1"/>
  <c r="A105" i="1"/>
  <c r="A107" i="1"/>
  <c r="A108" i="1"/>
  <c r="A109" i="1"/>
  <c r="A110" i="1"/>
  <c r="A111" i="1"/>
  <c r="A112" i="1"/>
  <c r="A113" i="1"/>
  <c r="A114" i="1"/>
  <c r="A116" i="1"/>
  <c r="A117" i="1"/>
  <c r="A118" i="1"/>
  <c r="A119" i="1"/>
  <c r="A68" i="1"/>
  <c r="C57" i="1"/>
  <c r="C59" i="1" s="1"/>
  <c r="D57" i="1"/>
  <c r="B57" i="1"/>
  <c r="B59" i="1" s="1"/>
  <c r="C51" i="1"/>
  <c r="D51" i="1"/>
  <c r="B51" i="1"/>
  <c r="D43" i="1"/>
  <c r="C43" i="1"/>
  <c r="B43" i="1"/>
  <c r="C32" i="1"/>
  <c r="D32" i="1"/>
  <c r="B32" i="1"/>
  <c r="C18" i="1"/>
  <c r="D18" i="1"/>
  <c r="B18" i="1"/>
  <c r="B5" i="1"/>
  <c r="C5" i="1"/>
  <c r="D5" i="1"/>
  <c r="E5" i="1"/>
  <c r="F5" i="1"/>
  <c r="G5" i="1"/>
  <c r="H5" i="1"/>
  <c r="I5" i="1"/>
  <c r="J5" i="1"/>
  <c r="K5" i="1"/>
  <c r="L5" i="1"/>
  <c r="A5" i="1"/>
  <c r="B58" i="22"/>
  <c r="C58" i="22"/>
  <c r="D58" i="22"/>
  <c r="B59" i="22"/>
  <c r="C59" i="22"/>
  <c r="D59" i="22"/>
  <c r="B60" i="22"/>
  <c r="C60" i="22"/>
  <c r="D60" i="22"/>
  <c r="B61" i="22"/>
  <c r="C61" i="22"/>
  <c r="D61" i="22"/>
  <c r="D65" i="22"/>
  <c r="B66" i="22"/>
  <c r="B36" i="11" s="1"/>
  <c r="C66" i="22"/>
  <c r="C36" i="11" s="1"/>
  <c r="D66" i="22"/>
  <c r="D36" i="11" s="1"/>
  <c r="B67" i="22"/>
  <c r="B35" i="11" s="1"/>
  <c r="C67" i="22"/>
  <c r="C35" i="11" s="1"/>
  <c r="D67" i="22"/>
  <c r="D35" i="11" s="1"/>
  <c r="B69" i="22"/>
  <c r="C69" i="22"/>
  <c r="D69" i="22"/>
  <c r="B70" i="22"/>
  <c r="C70" i="22"/>
  <c r="D70" i="22"/>
  <c r="B73" i="22"/>
  <c r="C73" i="22"/>
  <c r="D73" i="22"/>
  <c r="B75" i="22"/>
  <c r="C75" i="22"/>
  <c r="D75" i="22"/>
  <c r="B77" i="22"/>
  <c r="C77" i="22"/>
  <c r="D77" i="22"/>
  <c r="B78" i="22"/>
  <c r="C78" i="22"/>
  <c r="D78" i="22"/>
  <c r="B80" i="22"/>
  <c r="C80" i="22"/>
  <c r="D80" i="22"/>
  <c r="B81" i="22"/>
  <c r="C81" i="22"/>
  <c r="D81" i="22"/>
  <c r="B82" i="22"/>
  <c r="C82" i="22"/>
  <c r="D82" i="22"/>
  <c r="B85" i="22"/>
  <c r="C85" i="22"/>
  <c r="D85" i="22"/>
  <c r="B86" i="22"/>
  <c r="C86" i="22"/>
  <c r="D86" i="22"/>
  <c r="B87" i="22"/>
  <c r="C87" i="22"/>
  <c r="D87" i="22"/>
  <c r="B88" i="22"/>
  <c r="C88" i="22"/>
  <c r="D88" i="22"/>
  <c r="B90" i="22"/>
  <c r="C90" i="22"/>
  <c r="D90" i="22"/>
  <c r="C56" i="22"/>
  <c r="D56" i="22"/>
  <c r="B56" i="22"/>
  <c r="A57" i="22"/>
  <c r="A58" i="22"/>
  <c r="A59" i="22"/>
  <c r="A60" i="22"/>
  <c r="A61" i="22"/>
  <c r="A62" i="22"/>
  <c r="A63" i="22"/>
  <c r="A64" i="22"/>
  <c r="A65" i="22"/>
  <c r="A66" i="22"/>
  <c r="A67" i="22"/>
  <c r="A68" i="22"/>
  <c r="A69" i="22"/>
  <c r="A70" i="22"/>
  <c r="A71" i="22"/>
  <c r="A72" i="22"/>
  <c r="A73" i="22"/>
  <c r="A74" i="22"/>
  <c r="A75" i="22"/>
  <c r="A76" i="22"/>
  <c r="A77" i="22"/>
  <c r="A78" i="22"/>
  <c r="A79" i="22"/>
  <c r="A80" i="22"/>
  <c r="A81" i="22"/>
  <c r="A82" i="22"/>
  <c r="A83" i="22"/>
  <c r="A85" i="22"/>
  <c r="A86" i="22"/>
  <c r="A87" i="22"/>
  <c r="A88" i="22"/>
  <c r="A89" i="22"/>
  <c r="A90" i="22"/>
  <c r="A56" i="22"/>
  <c r="A55" i="22"/>
  <c r="C13" i="22"/>
  <c r="D13" i="22"/>
  <c r="B13" i="22"/>
  <c r="C8" i="22"/>
  <c r="D8" i="22"/>
  <c r="B8" i="22"/>
  <c r="C65" i="22"/>
  <c r="B65" i="22"/>
  <c r="D64" i="22"/>
  <c r="B64" i="22"/>
  <c r="C6" i="22"/>
  <c r="C55" i="22" s="1"/>
  <c r="D6" i="22"/>
  <c r="D55" i="22" s="1"/>
  <c r="E6" i="22"/>
  <c r="E55" i="22" s="1"/>
  <c r="F6" i="22"/>
  <c r="F55" i="22" s="1"/>
  <c r="G6" i="22"/>
  <c r="G55" i="22" s="1"/>
  <c r="H6" i="22"/>
  <c r="H55" i="22" s="1"/>
  <c r="I6" i="22"/>
  <c r="I55" i="22" s="1"/>
  <c r="J6" i="22"/>
  <c r="J55" i="22" s="1"/>
  <c r="K6" i="22"/>
  <c r="K55" i="22" s="1"/>
  <c r="L6" i="22"/>
  <c r="L55" i="22" s="1"/>
  <c r="B6" i="22"/>
  <c r="B55" i="22" s="1"/>
  <c r="C6" i="11"/>
  <c r="C13" i="11" s="1"/>
  <c r="D6" i="11"/>
  <c r="D60" i="11" s="1"/>
  <c r="E6" i="11"/>
  <c r="E13" i="11" s="1"/>
  <c r="F6" i="11"/>
  <c r="F13" i="11" s="1"/>
  <c r="G6" i="11"/>
  <c r="G60" i="11" s="1"/>
  <c r="H6" i="11"/>
  <c r="H60" i="11" s="1"/>
  <c r="I6" i="11"/>
  <c r="I60" i="11" s="1"/>
  <c r="J6" i="11"/>
  <c r="J60" i="11" s="1"/>
  <c r="K6" i="11"/>
  <c r="K13" i="11" s="1"/>
  <c r="L6" i="11"/>
  <c r="L60" i="11" s="1"/>
  <c r="B6" i="11"/>
  <c r="B13" i="11" s="1"/>
  <c r="B52" i="11" l="1"/>
  <c r="B54" i="11" s="1"/>
  <c r="B20" i="7"/>
  <c r="B19" i="7"/>
  <c r="B27" i="7"/>
  <c r="C18" i="7"/>
  <c r="C23" i="7"/>
  <c r="C24" i="7"/>
  <c r="D52" i="11"/>
  <c r="D54" i="11" s="1"/>
  <c r="D19" i="7"/>
  <c r="D27" i="7"/>
  <c r="D20" i="7"/>
  <c r="C52" i="11"/>
  <c r="C54" i="11" s="1"/>
  <c r="C27" i="7"/>
  <c r="C19" i="7"/>
  <c r="C20" i="7"/>
  <c r="D18" i="7"/>
  <c r="D23" i="7"/>
  <c r="D24" i="7"/>
  <c r="B24" i="7"/>
  <c r="B18" i="7"/>
  <c r="B23" i="7"/>
  <c r="E23" i="7" s="1"/>
  <c r="E33" i="7" s="1"/>
  <c r="E38" i="7" s="1"/>
  <c r="B47" i="11"/>
  <c r="C16" i="11"/>
  <c r="C71" i="5"/>
  <c r="D69" i="5" s="1"/>
  <c r="D71" i="5" s="1"/>
  <c r="C47" i="11"/>
  <c r="B52" i="1"/>
  <c r="D16" i="11"/>
  <c r="B33" i="1"/>
  <c r="B94" i="1" s="1"/>
  <c r="B16" i="11"/>
  <c r="D62" i="22"/>
  <c r="D34" i="11" s="1"/>
  <c r="D8" i="7"/>
  <c r="B62" i="22"/>
  <c r="B34" i="11" s="1"/>
  <c r="B8" i="7"/>
  <c r="C62" i="22"/>
  <c r="C34" i="11" s="1"/>
  <c r="C8" i="7"/>
  <c r="K60" i="11"/>
  <c r="H13" i="11"/>
  <c r="J13" i="11"/>
  <c r="I13" i="11"/>
  <c r="D13" i="11"/>
  <c r="C60" i="11"/>
  <c r="L13" i="11"/>
  <c r="F60" i="11"/>
  <c r="E60" i="11"/>
  <c r="G13" i="11"/>
  <c r="B60" i="11"/>
  <c r="D59" i="1"/>
  <c r="D47" i="11" s="1"/>
  <c r="B91" i="1"/>
  <c r="D52" i="1"/>
  <c r="B60" i="1"/>
  <c r="B105" i="1" s="1"/>
  <c r="B75" i="1"/>
  <c r="B85" i="1"/>
  <c r="C52" i="1"/>
  <c r="B80" i="1"/>
  <c r="B72" i="1"/>
  <c r="B77" i="1"/>
  <c r="B95" i="1"/>
  <c r="B74" i="1"/>
  <c r="B92" i="1"/>
  <c r="B84" i="1"/>
  <c r="B70" i="1"/>
  <c r="B79" i="1"/>
  <c r="B89" i="1"/>
  <c r="B82" i="1"/>
  <c r="D33" i="1"/>
  <c r="C33" i="1"/>
  <c r="C71" i="22"/>
  <c r="C64" i="22"/>
  <c r="B14" i="22"/>
  <c r="B63" i="22" s="1"/>
  <c r="B27" i="11" s="1"/>
  <c r="D14" i="22"/>
  <c r="D63" i="22" s="1"/>
  <c r="D27" i="11" s="1"/>
  <c r="C14" i="22"/>
  <c r="C63" i="22" s="1"/>
  <c r="C27" i="11" s="1"/>
  <c r="D57" i="22"/>
  <c r="B68" i="22"/>
  <c r="C57" i="22"/>
  <c r="B57" i="22"/>
  <c r="E27" i="7" l="1"/>
  <c r="E19" i="7"/>
  <c r="F23" i="7"/>
  <c r="E18" i="7"/>
  <c r="F19" i="7"/>
  <c r="F20" i="7"/>
  <c r="E24" i="7"/>
  <c r="F27" i="7"/>
  <c r="F32" i="7"/>
  <c r="E39" i="7"/>
  <c r="E44" i="7" s="1"/>
  <c r="E20" i="7"/>
  <c r="E8" i="7"/>
  <c r="F8" i="7" s="1"/>
  <c r="B61" i="11"/>
  <c r="D58" i="11"/>
  <c r="D39" i="21"/>
  <c r="D61" i="11"/>
  <c r="B71" i="1"/>
  <c r="B90" i="1"/>
  <c r="B83" i="1"/>
  <c r="C58" i="11"/>
  <c r="C39" i="21"/>
  <c r="C61" i="11"/>
  <c r="B58" i="11"/>
  <c r="B39" i="21"/>
  <c r="B113" i="1"/>
  <c r="B73" i="1"/>
  <c r="B76" i="1"/>
  <c r="B87" i="1"/>
  <c r="B93" i="1"/>
  <c r="B86" i="1"/>
  <c r="B78" i="1"/>
  <c r="B88" i="1"/>
  <c r="C68" i="22"/>
  <c r="C83" i="1"/>
  <c r="C91" i="1"/>
  <c r="C73" i="1"/>
  <c r="C85" i="1"/>
  <c r="C86" i="1"/>
  <c r="C76" i="1"/>
  <c r="C82" i="1"/>
  <c r="C89" i="1"/>
  <c r="C71" i="1"/>
  <c r="C79" i="1"/>
  <c r="C75" i="1"/>
  <c r="C84" i="1"/>
  <c r="C92" i="1"/>
  <c r="C74" i="1"/>
  <c r="C93" i="1"/>
  <c r="C87" i="1"/>
  <c r="C95" i="1"/>
  <c r="C77" i="1"/>
  <c r="C90" i="1"/>
  <c r="C72" i="1"/>
  <c r="C88" i="1"/>
  <c r="C78" i="1"/>
  <c r="C70" i="1"/>
  <c r="C94" i="1"/>
  <c r="C80" i="1"/>
  <c r="D88" i="1"/>
  <c r="D78" i="1"/>
  <c r="D70" i="1"/>
  <c r="D72" i="1"/>
  <c r="D83" i="1"/>
  <c r="D91" i="1"/>
  <c r="D73" i="1"/>
  <c r="D86" i="1"/>
  <c r="D76" i="1"/>
  <c r="D89" i="1"/>
  <c r="D71" i="1"/>
  <c r="D79" i="1"/>
  <c r="D80" i="1"/>
  <c r="D84" i="1"/>
  <c r="D92" i="1"/>
  <c r="D74" i="1"/>
  <c r="D90" i="1"/>
  <c r="D87" i="1"/>
  <c r="D95" i="1"/>
  <c r="D77" i="1"/>
  <c r="D85" i="1"/>
  <c r="D93" i="1"/>
  <c r="D82" i="1"/>
  <c r="D75" i="1"/>
  <c r="B118" i="1"/>
  <c r="B110" i="1"/>
  <c r="B102" i="1"/>
  <c r="B112" i="1"/>
  <c r="B117" i="1"/>
  <c r="B107" i="1"/>
  <c r="B104" i="1"/>
  <c r="B108" i="1"/>
  <c r="B100" i="1"/>
  <c r="B111" i="1"/>
  <c r="B103" i="1"/>
  <c r="B120" i="1"/>
  <c r="B122" i="1"/>
  <c r="B109" i="1"/>
  <c r="B101" i="1"/>
  <c r="B99" i="1"/>
  <c r="B114" i="1"/>
  <c r="D60" i="1"/>
  <c r="D114" i="1" s="1"/>
  <c r="B121" i="1"/>
  <c r="D94" i="1"/>
  <c r="B119" i="1"/>
  <c r="C60" i="1"/>
  <c r="C114" i="1" s="1"/>
  <c r="C23" i="22"/>
  <c r="B23" i="22"/>
  <c r="D68" i="22"/>
  <c r="G27" i="7" l="1"/>
  <c r="H27" i="7" s="1"/>
  <c r="F24" i="7"/>
  <c r="E51" i="7"/>
  <c r="E54" i="7" s="1"/>
  <c r="G20" i="7"/>
  <c r="H20" i="7" s="1"/>
  <c r="E11" i="1"/>
  <c r="E46" i="7"/>
  <c r="G19" i="7"/>
  <c r="G23" i="7"/>
  <c r="F33" i="7"/>
  <c r="F38" i="7" s="1"/>
  <c r="F39" i="7" s="1"/>
  <c r="F44" i="7" s="1"/>
  <c r="F18" i="7"/>
  <c r="G18" i="7" s="1"/>
  <c r="E9" i="22"/>
  <c r="E13" i="22" s="1"/>
  <c r="G8" i="7"/>
  <c r="F9" i="22"/>
  <c r="B29" i="24"/>
  <c r="B57" i="11"/>
  <c r="C29" i="24"/>
  <c r="C57" i="11"/>
  <c r="D121" i="1"/>
  <c r="B8" i="11"/>
  <c r="C8" i="11"/>
  <c r="C118" i="1"/>
  <c r="C110" i="1"/>
  <c r="C102" i="1"/>
  <c r="C109" i="1"/>
  <c r="C108" i="1"/>
  <c r="C100" i="1"/>
  <c r="C101" i="1"/>
  <c r="C111" i="1"/>
  <c r="C103" i="1"/>
  <c r="C122" i="1"/>
  <c r="C120" i="1"/>
  <c r="C117" i="1"/>
  <c r="C112" i="1"/>
  <c r="C107" i="1"/>
  <c r="C104" i="1"/>
  <c r="C105" i="1"/>
  <c r="C113" i="1"/>
  <c r="C119" i="1"/>
  <c r="C99" i="1"/>
  <c r="C121" i="1"/>
  <c r="D120" i="1"/>
  <c r="D117" i="1"/>
  <c r="D112" i="1"/>
  <c r="D107" i="1"/>
  <c r="D104" i="1"/>
  <c r="D122" i="1"/>
  <c r="D118" i="1"/>
  <c r="D110" i="1"/>
  <c r="D102" i="1"/>
  <c r="D108" i="1"/>
  <c r="D100" i="1"/>
  <c r="D111" i="1"/>
  <c r="D103" i="1"/>
  <c r="D109" i="1"/>
  <c r="D101" i="1"/>
  <c r="D113" i="1"/>
  <c r="D105" i="1"/>
  <c r="D99" i="1"/>
  <c r="D119" i="1"/>
  <c r="D23" i="22"/>
  <c r="D71" i="22"/>
  <c r="B71" i="22"/>
  <c r="C25" i="22"/>
  <c r="C72" i="22"/>
  <c r="I27" i="7" l="1"/>
  <c r="J27" i="7" s="1"/>
  <c r="G24" i="7"/>
  <c r="H24" i="7" s="1"/>
  <c r="G32" i="7"/>
  <c r="H19" i="7"/>
  <c r="G11" i="1"/>
  <c r="F11" i="1"/>
  <c r="F24" i="5" s="1"/>
  <c r="I20" i="7"/>
  <c r="J20" i="7" s="1"/>
  <c r="F50" i="7"/>
  <c r="E55" i="7"/>
  <c r="E59" i="7" s="1"/>
  <c r="H18" i="7"/>
  <c r="F51" i="7"/>
  <c r="E24" i="5"/>
  <c r="E51" i="11"/>
  <c r="E37" i="1"/>
  <c r="E39" i="1"/>
  <c r="E12" i="1"/>
  <c r="E52" i="11" s="1"/>
  <c r="E47" i="7"/>
  <c r="E20" i="1" s="1"/>
  <c r="F42" i="7"/>
  <c r="F46" i="7" s="1"/>
  <c r="G42" i="7" s="1"/>
  <c r="G33" i="7"/>
  <c r="H23" i="7"/>
  <c r="I19" i="7"/>
  <c r="K27" i="7"/>
  <c r="L27" i="7" s="1"/>
  <c r="G51" i="7"/>
  <c r="E58" i="22"/>
  <c r="F13" i="22"/>
  <c r="F58" i="22"/>
  <c r="G9" i="22"/>
  <c r="H8" i="7"/>
  <c r="E62" i="22"/>
  <c r="E34" i="11" s="1"/>
  <c r="E14" i="22"/>
  <c r="B27" i="21"/>
  <c r="C30" i="24"/>
  <c r="C28" i="22"/>
  <c r="D29" i="24"/>
  <c r="D57" i="11"/>
  <c r="C28" i="11"/>
  <c r="C40" i="11"/>
  <c r="C9" i="11"/>
  <c r="D8" i="11"/>
  <c r="C74" i="22"/>
  <c r="B25" i="22"/>
  <c r="B72" i="22"/>
  <c r="D25" i="22"/>
  <c r="D72" i="22"/>
  <c r="H51" i="7" l="1"/>
  <c r="I24" i="7"/>
  <c r="J24" i="7" s="1"/>
  <c r="E14" i="11"/>
  <c r="E41" i="11"/>
  <c r="I18" i="7"/>
  <c r="E23" i="5"/>
  <c r="I51" i="7"/>
  <c r="E27" i="5"/>
  <c r="E43" i="1"/>
  <c r="E53" i="11"/>
  <c r="E54" i="11" s="1"/>
  <c r="E61" i="7"/>
  <c r="E24" i="22"/>
  <c r="E28" i="5"/>
  <c r="J19" i="7"/>
  <c r="K19" i="7" s="1"/>
  <c r="H11" i="1"/>
  <c r="H24" i="5" s="1"/>
  <c r="H33" i="7"/>
  <c r="I23" i="7"/>
  <c r="F54" i="7"/>
  <c r="F55" i="7" s="1"/>
  <c r="F59" i="7" s="1"/>
  <c r="F24" i="22" s="1"/>
  <c r="F47" i="7"/>
  <c r="F20" i="1" s="1"/>
  <c r="G38" i="7"/>
  <c r="G39" i="7"/>
  <c r="G44" i="7" s="1"/>
  <c r="G51" i="11"/>
  <c r="F39" i="1"/>
  <c r="F37" i="1"/>
  <c r="F12" i="1"/>
  <c r="F52" i="11" s="1"/>
  <c r="G24" i="5"/>
  <c r="F51" i="11"/>
  <c r="K20" i="7"/>
  <c r="L20" i="7" s="1"/>
  <c r="G13" i="22"/>
  <c r="G58" i="22"/>
  <c r="E23" i="22"/>
  <c r="E63" i="22"/>
  <c r="B28" i="21"/>
  <c r="H9" i="22"/>
  <c r="I8" i="7"/>
  <c r="F62" i="22"/>
  <c r="F34" i="11" s="1"/>
  <c r="F14" i="22"/>
  <c r="C27" i="21"/>
  <c r="D30" i="24"/>
  <c r="D28" i="22"/>
  <c r="B30" i="24"/>
  <c r="B28" i="22"/>
  <c r="B28" i="11"/>
  <c r="D28" i="11"/>
  <c r="C29" i="11"/>
  <c r="B40" i="11"/>
  <c r="B9" i="11"/>
  <c r="C23" i="11"/>
  <c r="D40" i="11"/>
  <c r="D9" i="11"/>
  <c r="D23" i="11"/>
  <c r="D74" i="22"/>
  <c r="B74" i="22"/>
  <c r="C76" i="22"/>
  <c r="C31" i="22"/>
  <c r="C14" i="7" s="1"/>
  <c r="K24" i="7" l="1"/>
  <c r="K51" i="7" s="1"/>
  <c r="J51" i="7"/>
  <c r="E25" i="22"/>
  <c r="F9" i="5"/>
  <c r="F73" i="22"/>
  <c r="E52" i="1"/>
  <c r="F27" i="5"/>
  <c r="F43" i="1"/>
  <c r="F53" i="11"/>
  <c r="F54" i="11" s="1"/>
  <c r="G50" i="7"/>
  <c r="G39" i="1"/>
  <c r="G37" i="1"/>
  <c r="G12" i="1"/>
  <c r="G52" i="11" s="1"/>
  <c r="J23" i="7"/>
  <c r="I33" i="7"/>
  <c r="E9" i="5"/>
  <c r="E73" i="22"/>
  <c r="F23" i="5"/>
  <c r="H51" i="11"/>
  <c r="F57" i="7"/>
  <c r="F61" i="7" s="1"/>
  <c r="G57" i="7" s="1"/>
  <c r="E62" i="7"/>
  <c r="E21" i="1" s="1"/>
  <c r="F28" i="5"/>
  <c r="H32" i="7"/>
  <c r="I11" i="1"/>
  <c r="G46" i="7"/>
  <c r="H42" i="7" s="1"/>
  <c r="F14" i="11"/>
  <c r="F41" i="11"/>
  <c r="L19" i="7"/>
  <c r="E46" i="11"/>
  <c r="B38" i="21"/>
  <c r="J18" i="7"/>
  <c r="I9" i="22"/>
  <c r="H13" i="22"/>
  <c r="H58" i="22"/>
  <c r="B29" i="21"/>
  <c r="E27" i="11"/>
  <c r="E29" i="24"/>
  <c r="E72" i="22"/>
  <c r="B31" i="21"/>
  <c r="E57" i="11"/>
  <c r="E8" i="11"/>
  <c r="F23" i="22"/>
  <c r="F25" i="22" s="1"/>
  <c r="F63" i="22"/>
  <c r="C28" i="21"/>
  <c r="G62" i="22"/>
  <c r="G34" i="11" s="1"/>
  <c r="G14" i="22"/>
  <c r="D27" i="21"/>
  <c r="J8" i="7"/>
  <c r="C10" i="11"/>
  <c r="C31" i="24"/>
  <c r="B29" i="11"/>
  <c r="D29" i="11"/>
  <c r="C35" i="22"/>
  <c r="C79" i="22"/>
  <c r="C30" i="11" s="1"/>
  <c r="B76" i="22"/>
  <c r="B31" i="22"/>
  <c r="B14" i="7" s="1"/>
  <c r="D31" i="22"/>
  <c r="D14" i="7" s="1"/>
  <c r="E14" i="7" s="1"/>
  <c r="D76" i="22"/>
  <c r="F62" i="7" l="1"/>
  <c r="F21" i="1" s="1"/>
  <c r="F32" i="1" s="1"/>
  <c r="G47" i="7"/>
  <c r="G20" i="1" s="1"/>
  <c r="L24" i="7"/>
  <c r="L51" i="7" s="1"/>
  <c r="H38" i="7"/>
  <c r="F14" i="7"/>
  <c r="C38" i="21"/>
  <c r="F46" i="11"/>
  <c r="H39" i="1"/>
  <c r="H28" i="5" s="1"/>
  <c r="H37" i="1"/>
  <c r="H12" i="1"/>
  <c r="H23" i="5" s="1"/>
  <c r="G27" i="5"/>
  <c r="G43" i="1"/>
  <c r="G52" i="1" s="1"/>
  <c r="G53" i="11"/>
  <c r="G54" i="11" s="1"/>
  <c r="G28" i="5"/>
  <c r="E32" i="1"/>
  <c r="J11" i="1"/>
  <c r="K18" i="7"/>
  <c r="K11" i="1" s="1"/>
  <c r="J24" i="5"/>
  <c r="I51" i="11"/>
  <c r="G54" i="7"/>
  <c r="G55" i="7"/>
  <c r="G59" i="7" s="1"/>
  <c r="G24" i="22" s="1"/>
  <c r="G23" i="5"/>
  <c r="I24" i="5"/>
  <c r="G41" i="11"/>
  <c r="G14" i="11"/>
  <c r="K23" i="7"/>
  <c r="K33" i="7" s="1"/>
  <c r="J33" i="7"/>
  <c r="F52" i="1"/>
  <c r="E28" i="22"/>
  <c r="E30" i="24"/>
  <c r="E74" i="22"/>
  <c r="E9" i="11"/>
  <c r="E23" i="11"/>
  <c r="C29" i="21"/>
  <c r="F27" i="11"/>
  <c r="F29" i="24"/>
  <c r="F72" i="22"/>
  <c r="C31" i="21"/>
  <c r="F57" i="11"/>
  <c r="F8" i="11"/>
  <c r="H62" i="22"/>
  <c r="H34" i="11" s="1"/>
  <c r="H14" i="22"/>
  <c r="H52" i="11"/>
  <c r="E27" i="21"/>
  <c r="I13" i="22"/>
  <c r="I58" i="22"/>
  <c r="K8" i="7"/>
  <c r="K9" i="22" s="1"/>
  <c r="J9" i="22"/>
  <c r="G23" i="22"/>
  <c r="G63" i="22"/>
  <c r="D28" i="21"/>
  <c r="E28" i="11"/>
  <c r="D10" i="11"/>
  <c r="D31" i="24"/>
  <c r="B10" i="11"/>
  <c r="B31" i="24"/>
  <c r="C11" i="11"/>
  <c r="D35" i="22"/>
  <c r="D79" i="22"/>
  <c r="D30" i="11" s="1"/>
  <c r="B79" i="22"/>
  <c r="B30" i="11" s="1"/>
  <c r="B35" i="22"/>
  <c r="B11" i="11" s="1"/>
  <c r="C83" i="22"/>
  <c r="C41" i="22"/>
  <c r="L18" i="7" l="1"/>
  <c r="L11" i="1" s="1"/>
  <c r="L51" i="11" s="1"/>
  <c r="G9" i="5"/>
  <c r="G73" i="22"/>
  <c r="G46" i="11"/>
  <c r="D38" i="21"/>
  <c r="H50" i="7"/>
  <c r="G62" i="7"/>
  <c r="G21" i="1" s="1"/>
  <c r="I39" i="1"/>
  <c r="I37" i="1"/>
  <c r="I12" i="1"/>
  <c r="G61" i="7"/>
  <c r="H57" i="7" s="1"/>
  <c r="F47" i="5"/>
  <c r="F67" i="5" s="1"/>
  <c r="E47" i="5"/>
  <c r="E67" i="5" s="1"/>
  <c r="E71" i="5" s="1"/>
  <c r="F68" i="5" s="1"/>
  <c r="I23" i="5"/>
  <c r="I32" i="7"/>
  <c r="G14" i="7"/>
  <c r="L24" i="5"/>
  <c r="K51" i="11"/>
  <c r="H27" i="5"/>
  <c r="H43" i="1"/>
  <c r="H53" i="11"/>
  <c r="H54" i="11" s="1"/>
  <c r="H39" i="7"/>
  <c r="H44" i="7" s="1"/>
  <c r="G25" i="22"/>
  <c r="K24" i="5"/>
  <c r="J51" i="11"/>
  <c r="L23" i="7"/>
  <c r="L33" i="7" s="1"/>
  <c r="D29" i="21"/>
  <c r="G27" i="11"/>
  <c r="H23" i="22"/>
  <c r="H63" i="22"/>
  <c r="E28" i="21"/>
  <c r="G29" i="24"/>
  <c r="G72" i="22"/>
  <c r="G57" i="11"/>
  <c r="D31" i="21"/>
  <c r="G8" i="11"/>
  <c r="J13" i="22"/>
  <c r="J58" i="22"/>
  <c r="I62" i="22"/>
  <c r="I34" i="11" s="1"/>
  <c r="I14" i="22"/>
  <c r="I52" i="11"/>
  <c r="F27" i="21"/>
  <c r="F28" i="11"/>
  <c r="E29" i="11"/>
  <c r="K13" i="22"/>
  <c r="K58" i="22"/>
  <c r="L8" i="7"/>
  <c r="L9" i="22" s="1"/>
  <c r="F28" i="22"/>
  <c r="F30" i="24"/>
  <c r="F74" i="22"/>
  <c r="F9" i="11"/>
  <c r="F23" i="11"/>
  <c r="E31" i="22"/>
  <c r="E7" i="5" s="1"/>
  <c r="E76" i="22"/>
  <c r="C42" i="11"/>
  <c r="C48" i="11" s="1"/>
  <c r="C32" i="24"/>
  <c r="C50" i="22"/>
  <c r="C49" i="22"/>
  <c r="C24" i="11"/>
  <c r="C45" i="11"/>
  <c r="C31" i="11"/>
  <c r="D11" i="11"/>
  <c r="D24" i="11"/>
  <c r="C89" i="22"/>
  <c r="B41" i="22"/>
  <c r="B83" i="22"/>
  <c r="D41" i="22"/>
  <c r="D83" i="22"/>
  <c r="F71" i="5" l="1"/>
  <c r="H46" i="7"/>
  <c r="I28" i="5"/>
  <c r="G32" i="1"/>
  <c r="J39" i="1"/>
  <c r="J37" i="1"/>
  <c r="J12" i="1"/>
  <c r="J23" i="5" s="1"/>
  <c r="I38" i="7"/>
  <c r="I39" i="7" s="1"/>
  <c r="I44" i="7" s="1"/>
  <c r="H54" i="7"/>
  <c r="H55" i="7"/>
  <c r="H59" i="7" s="1"/>
  <c r="H24" i="22" s="1"/>
  <c r="H52" i="1"/>
  <c r="K37" i="1"/>
  <c r="K39" i="1"/>
  <c r="K12" i="1"/>
  <c r="H14" i="7"/>
  <c r="I27" i="5"/>
  <c r="I43" i="1"/>
  <c r="I53" i="11"/>
  <c r="I54" i="11" s="1"/>
  <c r="G28" i="11"/>
  <c r="E32" i="22"/>
  <c r="E30" i="5"/>
  <c r="E79" i="22"/>
  <c r="E30" i="11" s="1"/>
  <c r="E10" i="11"/>
  <c r="I23" i="22"/>
  <c r="I63" i="22"/>
  <c r="F28" i="21"/>
  <c r="L13" i="22"/>
  <c r="L58" i="22"/>
  <c r="E29" i="21"/>
  <c r="H27" i="11"/>
  <c r="G28" i="22"/>
  <c r="G30" i="24"/>
  <c r="G74" i="22"/>
  <c r="G9" i="11"/>
  <c r="G23" i="11"/>
  <c r="J62" i="22"/>
  <c r="J34" i="11" s="1"/>
  <c r="J14" i="22"/>
  <c r="F29" i="11"/>
  <c r="H29" i="24"/>
  <c r="H72" i="22"/>
  <c r="H57" i="11"/>
  <c r="E31" i="21"/>
  <c r="H8" i="11"/>
  <c r="K62" i="22"/>
  <c r="K34" i="11" s="1"/>
  <c r="K14" i="22"/>
  <c r="F31" i="22"/>
  <c r="F7" i="5" s="1"/>
  <c r="F30" i="5" s="1"/>
  <c r="F76" i="22"/>
  <c r="D42" i="11"/>
  <c r="D48" i="11" s="1"/>
  <c r="D32" i="24"/>
  <c r="D50" i="22"/>
  <c r="D49" i="22"/>
  <c r="B32" i="24"/>
  <c r="B50" i="22"/>
  <c r="B49" i="22"/>
  <c r="B42" i="11"/>
  <c r="B48" i="11" s="1"/>
  <c r="B45" i="11"/>
  <c r="B31" i="11"/>
  <c r="D45" i="11"/>
  <c r="D31" i="11"/>
  <c r="D89" i="22"/>
  <c r="B89" i="22"/>
  <c r="J52" i="11" l="1"/>
  <c r="H9" i="5"/>
  <c r="H73" i="22"/>
  <c r="H25" i="22"/>
  <c r="G47" i="5"/>
  <c r="G67" i="5" s="1"/>
  <c r="K28" i="5"/>
  <c r="I50" i="7"/>
  <c r="L37" i="1"/>
  <c r="L39" i="1"/>
  <c r="L12" i="1"/>
  <c r="L23" i="5" s="1"/>
  <c r="K27" i="5"/>
  <c r="K43" i="1"/>
  <c r="K53" i="11"/>
  <c r="J32" i="7"/>
  <c r="I52" i="1"/>
  <c r="H61" i="7"/>
  <c r="I57" i="7" s="1"/>
  <c r="K23" i="5"/>
  <c r="I42" i="7"/>
  <c r="I46" i="7" s="1"/>
  <c r="J42" i="7" s="1"/>
  <c r="H47" i="7"/>
  <c r="H20" i="1" s="1"/>
  <c r="E35" i="22"/>
  <c r="E24" i="11" s="1"/>
  <c r="E31" i="5"/>
  <c r="E32" i="5" s="1"/>
  <c r="K52" i="11"/>
  <c r="J27" i="5"/>
  <c r="J43" i="1"/>
  <c r="J53" i="11"/>
  <c r="J54" i="11"/>
  <c r="J28" i="5"/>
  <c r="I14" i="7"/>
  <c r="E31" i="24"/>
  <c r="G31" i="22"/>
  <c r="G7" i="5" s="1"/>
  <c r="G30" i="5" s="1"/>
  <c r="G76" i="22"/>
  <c r="J23" i="22"/>
  <c r="J63" i="22"/>
  <c r="J27" i="11" s="1"/>
  <c r="F32" i="22"/>
  <c r="F31" i="5" s="1"/>
  <c r="F79" i="22"/>
  <c r="F30" i="11" s="1"/>
  <c r="F10" i="11"/>
  <c r="L52" i="11"/>
  <c r="L62" i="22"/>
  <c r="L34" i="11" s="1"/>
  <c r="L14" i="22"/>
  <c r="K23" i="22"/>
  <c r="K63" i="22"/>
  <c r="K27" i="11" s="1"/>
  <c r="H28" i="22"/>
  <c r="H30" i="24"/>
  <c r="H74" i="22"/>
  <c r="H9" i="11"/>
  <c r="H23" i="11"/>
  <c r="E80" i="22"/>
  <c r="B33" i="21"/>
  <c r="G29" i="11"/>
  <c r="F29" i="21"/>
  <c r="I27" i="11"/>
  <c r="H28" i="11"/>
  <c r="I29" i="24"/>
  <c r="I72" i="22"/>
  <c r="I57" i="11"/>
  <c r="F31" i="21"/>
  <c r="I8" i="11"/>
  <c r="A1" i="7"/>
  <c r="A1" i="5"/>
  <c r="A1" i="1"/>
  <c r="A1" i="11"/>
  <c r="E11" i="11" l="1"/>
  <c r="E83" i="22"/>
  <c r="E41" i="22"/>
  <c r="K54" i="11"/>
  <c r="I47" i="7"/>
  <c r="I20" i="1" s="1"/>
  <c r="H62" i="7"/>
  <c r="H21" i="1" s="1"/>
  <c r="E57" i="1"/>
  <c r="E19" i="11"/>
  <c r="L28" i="5"/>
  <c r="F31" i="24"/>
  <c r="J38" i="7"/>
  <c r="J39" i="7"/>
  <c r="J44" i="7" s="1"/>
  <c r="L27" i="5"/>
  <c r="L43" i="1"/>
  <c r="L53" i="11"/>
  <c r="L54" i="11" s="1"/>
  <c r="H32" i="1"/>
  <c r="H14" i="11"/>
  <c r="H41" i="11"/>
  <c r="J46" i="7"/>
  <c r="K42" i="7" s="1"/>
  <c r="I54" i="7"/>
  <c r="J14" i="7"/>
  <c r="K14" i="7" s="1"/>
  <c r="I14" i="11"/>
  <c r="I41" i="11"/>
  <c r="J52" i="1"/>
  <c r="K52" i="1"/>
  <c r="E33" i="24"/>
  <c r="J29" i="24"/>
  <c r="J72" i="22"/>
  <c r="J57" i="11"/>
  <c r="J8" i="11"/>
  <c r="H29" i="11"/>
  <c r="I28" i="11"/>
  <c r="B32" i="21"/>
  <c r="E31" i="11"/>
  <c r="E45" i="11"/>
  <c r="K29" i="24"/>
  <c r="K72" i="22"/>
  <c r="K57" i="11"/>
  <c r="K8" i="11"/>
  <c r="F32" i="5"/>
  <c r="F80" i="22"/>
  <c r="C33" i="21"/>
  <c r="L23" i="22"/>
  <c r="L63" i="22"/>
  <c r="L27" i="11" s="1"/>
  <c r="F35" i="22"/>
  <c r="H31" i="22"/>
  <c r="H7" i="5" s="1"/>
  <c r="H30" i="5" s="1"/>
  <c r="H76" i="22"/>
  <c r="E32" i="24"/>
  <c r="E89" i="22"/>
  <c r="E50" i="22"/>
  <c r="E49" i="22"/>
  <c r="B34" i="21"/>
  <c r="G32" i="22"/>
  <c r="G79" i="22"/>
  <c r="G30" i="11" s="1"/>
  <c r="G10" i="11"/>
  <c r="B56" i="11"/>
  <c r="B50" i="11"/>
  <c r="B21" i="11"/>
  <c r="B44" i="11"/>
  <c r="B26" i="11"/>
  <c r="B33" i="11" s="1"/>
  <c r="B39" i="11"/>
  <c r="I46" i="11" l="1"/>
  <c r="F38" i="21"/>
  <c r="J50" i="7"/>
  <c r="H47" i="5"/>
  <c r="H67" i="5" s="1"/>
  <c r="E59" i="1"/>
  <c r="E38" i="21"/>
  <c r="H46" i="11"/>
  <c r="L52" i="1"/>
  <c r="L14" i="7"/>
  <c r="K32" i="7"/>
  <c r="J47" i="7"/>
  <c r="J20" i="1" s="1"/>
  <c r="G31" i="24"/>
  <c r="G31" i="5"/>
  <c r="I55" i="7"/>
  <c r="I59" i="7" s="1"/>
  <c r="E8" i="1"/>
  <c r="G35" i="22"/>
  <c r="G24" i="11" s="1"/>
  <c r="F33" i="24"/>
  <c r="L29" i="24"/>
  <c r="L57" i="11"/>
  <c r="L72" i="22"/>
  <c r="L8" i="11"/>
  <c r="J28" i="11"/>
  <c r="B35" i="21"/>
  <c r="B40" i="21"/>
  <c r="F41" i="22"/>
  <c r="F83" i="22"/>
  <c r="F11" i="11"/>
  <c r="F24" i="11"/>
  <c r="G32" i="5"/>
  <c r="G80" i="22"/>
  <c r="D33" i="21"/>
  <c r="K28" i="11"/>
  <c r="H32" i="22"/>
  <c r="H79" i="22"/>
  <c r="H30" i="11" s="1"/>
  <c r="H10" i="11"/>
  <c r="D3" i="19"/>
  <c r="R3" i="19" s="1"/>
  <c r="AN26" i="20"/>
  <c r="AM26" i="20"/>
  <c r="P12" i="19" s="1"/>
  <c r="AN18" i="20"/>
  <c r="N12" i="19" s="1"/>
  <c r="AM18" i="20"/>
  <c r="M12" i="19" s="1"/>
  <c r="AN10" i="20"/>
  <c r="AM10" i="20"/>
  <c r="J12" i="19" s="1"/>
  <c r="AJ10" i="20"/>
  <c r="K11" i="19" s="1"/>
  <c r="AI10" i="20"/>
  <c r="AJ18" i="20"/>
  <c r="AI18" i="20"/>
  <c r="AJ26" i="20"/>
  <c r="Q11" i="19" s="1"/>
  <c r="AI26" i="20"/>
  <c r="P11" i="19" s="1"/>
  <c r="AF26" i="20"/>
  <c r="Q10" i="19" s="1"/>
  <c r="AE26" i="20"/>
  <c r="P10" i="19" s="1"/>
  <c r="AF18" i="20"/>
  <c r="N10" i="19" s="1"/>
  <c r="AE18" i="20"/>
  <c r="M10" i="19" s="1"/>
  <c r="AF10" i="20"/>
  <c r="K10" i="19" s="1"/>
  <c r="AE10" i="20"/>
  <c r="J10" i="19" s="1"/>
  <c r="AB10" i="20"/>
  <c r="K9" i="19" s="1"/>
  <c r="AA10" i="20"/>
  <c r="J9" i="19" s="1"/>
  <c r="AB18" i="20"/>
  <c r="N9" i="19" s="1"/>
  <c r="AA18" i="20"/>
  <c r="M9" i="19" s="1"/>
  <c r="AB26" i="20"/>
  <c r="Q9" i="19" s="1"/>
  <c r="AA26" i="20"/>
  <c r="P9" i="19" s="1"/>
  <c r="X26" i="20"/>
  <c r="Q8" i="19" s="1"/>
  <c r="W26" i="20"/>
  <c r="P8" i="19" s="1"/>
  <c r="X18" i="20"/>
  <c r="N8" i="19" s="1"/>
  <c r="W18" i="20"/>
  <c r="M8" i="19" s="1"/>
  <c r="X10" i="20"/>
  <c r="K8" i="19" s="1"/>
  <c r="W10" i="20"/>
  <c r="J8" i="19" s="1"/>
  <c r="T10" i="20"/>
  <c r="K7" i="19" s="1"/>
  <c r="S10" i="20"/>
  <c r="T18" i="20"/>
  <c r="N7" i="19" s="1"/>
  <c r="S18" i="20"/>
  <c r="M7" i="19" s="1"/>
  <c r="T26" i="20"/>
  <c r="Q7" i="19" s="1"/>
  <c r="S26" i="20"/>
  <c r="P7" i="19" s="1"/>
  <c r="P26" i="20"/>
  <c r="O26" i="20"/>
  <c r="P18" i="20"/>
  <c r="N6" i="19" s="1"/>
  <c r="O18" i="20"/>
  <c r="M6" i="19" s="1"/>
  <c r="P10" i="20"/>
  <c r="O10" i="20"/>
  <c r="L26" i="20"/>
  <c r="Q5" i="19" s="1"/>
  <c r="K26" i="20"/>
  <c r="P5" i="19" s="1"/>
  <c r="L18" i="20"/>
  <c r="N5" i="19" s="1"/>
  <c r="K18" i="20"/>
  <c r="M5" i="19" s="1"/>
  <c r="L10" i="20"/>
  <c r="K5" i="19" s="1"/>
  <c r="K10" i="20"/>
  <c r="J5" i="19" s="1"/>
  <c r="H10" i="20"/>
  <c r="K4" i="19" s="1"/>
  <c r="G10" i="20"/>
  <c r="J4" i="19" s="1"/>
  <c r="H18" i="20"/>
  <c r="N4" i="19" s="1"/>
  <c r="G18" i="20"/>
  <c r="M4" i="19" s="1"/>
  <c r="H26" i="20"/>
  <c r="Q4" i="19" s="1"/>
  <c r="G26" i="20"/>
  <c r="P4" i="19" s="1"/>
  <c r="D26" i="20"/>
  <c r="Q3" i="19" s="1"/>
  <c r="C26" i="20"/>
  <c r="P3" i="19" s="1"/>
  <c r="D18" i="20"/>
  <c r="N3" i="19" s="1"/>
  <c r="C18" i="20"/>
  <c r="M3" i="19" s="1"/>
  <c r="D10" i="20"/>
  <c r="K3" i="19" s="1"/>
  <c r="C10" i="20"/>
  <c r="J3" i="19" s="1"/>
  <c r="Q12" i="19"/>
  <c r="N11" i="19"/>
  <c r="M11" i="19"/>
  <c r="Q6" i="19"/>
  <c r="P6" i="19"/>
  <c r="K12" i="19"/>
  <c r="J11" i="19"/>
  <c r="J7" i="19"/>
  <c r="K6" i="19"/>
  <c r="J6" i="19"/>
  <c r="D12" i="19"/>
  <c r="D11" i="19"/>
  <c r="D10" i="19"/>
  <c r="D9" i="19"/>
  <c r="D8" i="19"/>
  <c r="D7" i="19"/>
  <c r="R7" i="19" s="1"/>
  <c r="D6" i="19"/>
  <c r="R6" i="19" s="1"/>
  <c r="D5" i="19"/>
  <c r="R5" i="19" s="1"/>
  <c r="D4" i="19"/>
  <c r="R4" i="19" s="1"/>
  <c r="H31" i="24" l="1"/>
  <c r="H31" i="5"/>
  <c r="J41" i="11"/>
  <c r="J46" i="11" s="1"/>
  <c r="J14" i="11"/>
  <c r="K38" i="7"/>
  <c r="K39" i="7"/>
  <c r="K44" i="7" s="1"/>
  <c r="J54" i="7"/>
  <c r="J55" i="7"/>
  <c r="J59" i="7" s="1"/>
  <c r="J24" i="22" s="1"/>
  <c r="F57" i="1"/>
  <c r="F19" i="11"/>
  <c r="I24" i="22"/>
  <c r="I61" i="7"/>
  <c r="E47" i="11"/>
  <c r="E60" i="1"/>
  <c r="E42" i="11"/>
  <c r="G68" i="5"/>
  <c r="G71" i="5" s="1"/>
  <c r="E18" i="1"/>
  <c r="B36" i="21"/>
  <c r="E15" i="11"/>
  <c r="G11" i="11"/>
  <c r="G41" i="22"/>
  <c r="G89" i="22" s="1"/>
  <c r="G83" i="22"/>
  <c r="G45" i="11" s="1"/>
  <c r="G33" i="24"/>
  <c r="L28" i="11"/>
  <c r="C32" i="21"/>
  <c r="F45" i="11"/>
  <c r="F31" i="11"/>
  <c r="H32" i="5"/>
  <c r="H80" i="22"/>
  <c r="E33" i="21"/>
  <c r="F50" i="22"/>
  <c r="F32" i="24"/>
  <c r="F49" i="22"/>
  <c r="F89" i="22"/>
  <c r="C34" i="21"/>
  <c r="H35" i="22"/>
  <c r="H3" i="19"/>
  <c r="V6" i="19"/>
  <c r="T9" i="19"/>
  <c r="S8" i="19"/>
  <c r="V9" i="19"/>
  <c r="S7" i="19"/>
  <c r="W11" i="19"/>
  <c r="H6" i="19"/>
  <c r="W8" i="19"/>
  <c r="S9" i="19"/>
  <c r="S6" i="19"/>
  <c r="W6" i="19"/>
  <c r="U9" i="19"/>
  <c r="R10" i="19"/>
  <c r="W9" i="19"/>
  <c r="T10" i="19"/>
  <c r="U8" i="19"/>
  <c r="T4" i="19"/>
  <c r="T6" i="19"/>
  <c r="U6" i="19"/>
  <c r="H10" i="19"/>
  <c r="V10" i="19"/>
  <c r="V11" i="19"/>
  <c r="S11" i="19"/>
  <c r="V7" i="19"/>
  <c r="T7" i="19"/>
  <c r="U7" i="19"/>
  <c r="H7" i="19"/>
  <c r="W7" i="19"/>
  <c r="R8" i="19"/>
  <c r="V8" i="19"/>
  <c r="S10" i="19"/>
  <c r="W10" i="19"/>
  <c r="U3" i="19"/>
  <c r="T3" i="19"/>
  <c r="W3" i="19"/>
  <c r="V3" i="19"/>
  <c r="S3" i="19"/>
  <c r="V5" i="19"/>
  <c r="W4" i="19"/>
  <c r="T12" i="19"/>
  <c r="H12" i="19"/>
  <c r="W12" i="19"/>
  <c r="S12" i="19"/>
  <c r="V12" i="19"/>
  <c r="R12" i="19"/>
  <c r="U12" i="19"/>
  <c r="U4" i="19"/>
  <c r="W5" i="19"/>
  <c r="V4" i="19"/>
  <c r="S5" i="19"/>
  <c r="S4" i="19"/>
  <c r="T5" i="19"/>
  <c r="H4" i="19"/>
  <c r="H5" i="19"/>
  <c r="U5" i="19"/>
  <c r="T8" i="19"/>
  <c r="U10" i="19"/>
  <c r="H8" i="19"/>
  <c r="R9" i="19"/>
  <c r="H11" i="19"/>
  <c r="T11" i="19"/>
  <c r="U11" i="19"/>
  <c r="H9" i="19"/>
  <c r="R11" i="19"/>
  <c r="B41" i="21" l="1"/>
  <c r="E48" i="11"/>
  <c r="F59" i="1"/>
  <c r="E109" i="1"/>
  <c r="E113" i="1"/>
  <c r="E110" i="1"/>
  <c r="E104" i="1"/>
  <c r="E107" i="1"/>
  <c r="E108" i="1"/>
  <c r="E117" i="1"/>
  <c r="E102" i="1"/>
  <c r="E100" i="1"/>
  <c r="E111" i="1"/>
  <c r="E122" i="1"/>
  <c r="E103" i="1"/>
  <c r="E120" i="1"/>
  <c r="E112" i="1"/>
  <c r="E99" i="1"/>
  <c r="E101" i="1"/>
  <c r="E105" i="1"/>
  <c r="E114" i="1"/>
  <c r="E118" i="1"/>
  <c r="E119" i="1"/>
  <c r="E39" i="21"/>
  <c r="E58" i="11"/>
  <c r="J9" i="5"/>
  <c r="J73" i="22"/>
  <c r="J25" i="22"/>
  <c r="E121" i="1"/>
  <c r="K50" i="7"/>
  <c r="J57" i="7"/>
  <c r="J61" i="7" s="1"/>
  <c r="K57" i="7" s="1"/>
  <c r="I62" i="7"/>
  <c r="I21" i="1" s="1"/>
  <c r="K46" i="7"/>
  <c r="L42" i="7" s="1"/>
  <c r="G57" i="1"/>
  <c r="G19" i="11"/>
  <c r="I9" i="5"/>
  <c r="I73" i="22"/>
  <c r="I25" i="22"/>
  <c r="L32" i="7"/>
  <c r="L38" i="7" s="1"/>
  <c r="L39" i="7" s="1"/>
  <c r="L44" i="7" s="1"/>
  <c r="K47" i="7"/>
  <c r="K20" i="1" s="1"/>
  <c r="F8" i="1"/>
  <c r="F18" i="1" s="1"/>
  <c r="H68" i="5"/>
  <c r="H71" i="5" s="1"/>
  <c r="G49" i="22"/>
  <c r="E33" i="1"/>
  <c r="E16" i="11"/>
  <c r="G32" i="24"/>
  <c r="G50" i="22"/>
  <c r="G31" i="11"/>
  <c r="D32" i="21"/>
  <c r="D35" i="21" s="1"/>
  <c r="D34" i="21"/>
  <c r="H33" i="24"/>
  <c r="H41" i="22"/>
  <c r="H83" i="22"/>
  <c r="H11" i="11"/>
  <c r="H24" i="11"/>
  <c r="C40" i="21"/>
  <c r="C35" i="21"/>
  <c r="R13" i="19"/>
  <c r="Y5" i="19"/>
  <c r="X5" i="19"/>
  <c r="Z5" i="19"/>
  <c r="T13" i="19"/>
  <c r="T14" i="19"/>
  <c r="Z4" i="19"/>
  <c r="X4" i="19"/>
  <c r="Y4" i="19"/>
  <c r="Z12" i="19"/>
  <c r="X12" i="19"/>
  <c r="Y12" i="19"/>
  <c r="S14" i="19"/>
  <c r="S13" i="19"/>
  <c r="U13" i="19"/>
  <c r="U14" i="19"/>
  <c r="Y11" i="19"/>
  <c r="X11" i="19"/>
  <c r="Z11" i="19"/>
  <c r="V14" i="19"/>
  <c r="V13" i="19"/>
  <c r="X10" i="19"/>
  <c r="Z10" i="19"/>
  <c r="Y10" i="19"/>
  <c r="R14" i="19"/>
  <c r="Z8" i="19"/>
  <c r="X8" i="19"/>
  <c r="Y8" i="19"/>
  <c r="Y9" i="19"/>
  <c r="X9" i="19"/>
  <c r="Z9" i="19"/>
  <c r="W14" i="19"/>
  <c r="W13" i="19"/>
  <c r="AA7" i="19"/>
  <c r="Y7" i="19"/>
  <c r="X7" i="19"/>
  <c r="Z7" i="19"/>
  <c r="Z6" i="19"/>
  <c r="Y6" i="19"/>
  <c r="X6" i="19"/>
  <c r="Y3" i="19"/>
  <c r="Z3" i="19"/>
  <c r="X3" i="19"/>
  <c r="AB7" i="19"/>
  <c r="AA6" i="19"/>
  <c r="AB6" i="19"/>
  <c r="AC6" i="19"/>
  <c r="AA10" i="19"/>
  <c r="AC7" i="19"/>
  <c r="AB10" i="19"/>
  <c r="AC10" i="19"/>
  <c r="AC11" i="19"/>
  <c r="AB11" i="19"/>
  <c r="AA11" i="19"/>
  <c r="AA5" i="19"/>
  <c r="AC5" i="19"/>
  <c r="AB5" i="19"/>
  <c r="AC8" i="19"/>
  <c r="AB8" i="19"/>
  <c r="AA8" i="19"/>
  <c r="AA9" i="19"/>
  <c r="AC9" i="19"/>
  <c r="AB9" i="19"/>
  <c r="AC3" i="19"/>
  <c r="AB3" i="19"/>
  <c r="AA3" i="19"/>
  <c r="AA4" i="19"/>
  <c r="AC4" i="19"/>
  <c r="AB4" i="19"/>
  <c r="AA12" i="19"/>
  <c r="AC12" i="19"/>
  <c r="AB12" i="19"/>
  <c r="E80" i="1" l="1"/>
  <c r="K54" i="7"/>
  <c r="K55" i="7" s="1"/>
  <c r="K59" i="7" s="1"/>
  <c r="K14" i="11"/>
  <c r="K41" i="11"/>
  <c r="K46" i="11" s="1"/>
  <c r="G59" i="1"/>
  <c r="J74" i="22"/>
  <c r="J9" i="11"/>
  <c r="J23" i="11"/>
  <c r="J28" i="22"/>
  <c r="J30" i="24"/>
  <c r="I30" i="24"/>
  <c r="I28" i="22"/>
  <c r="I9" i="11"/>
  <c r="I74" i="22"/>
  <c r="I23" i="11"/>
  <c r="L46" i="7"/>
  <c r="L47" i="7" s="1"/>
  <c r="L20" i="1" s="1"/>
  <c r="I32" i="1"/>
  <c r="F47" i="11"/>
  <c r="F60" i="1"/>
  <c r="F42" i="11"/>
  <c r="H57" i="1"/>
  <c r="H19" i="11"/>
  <c r="J62" i="7"/>
  <c r="J21" i="1" s="1"/>
  <c r="J32" i="1" s="1"/>
  <c r="G8" i="1"/>
  <c r="G15" i="11" s="1"/>
  <c r="F15" i="11"/>
  <c r="C36" i="21"/>
  <c r="F33" i="1"/>
  <c r="F16" i="11"/>
  <c r="E61" i="11"/>
  <c r="I68" i="5"/>
  <c r="E76" i="1"/>
  <c r="E94" i="1"/>
  <c r="E71" i="1"/>
  <c r="E91" i="1"/>
  <c r="E75" i="1"/>
  <c r="E84" i="1"/>
  <c r="E95" i="1"/>
  <c r="E90" i="1"/>
  <c r="E92" i="1"/>
  <c r="E82" i="1"/>
  <c r="E73" i="1"/>
  <c r="E87" i="1"/>
  <c r="E83" i="1"/>
  <c r="E74" i="1"/>
  <c r="E93" i="1"/>
  <c r="E79" i="1"/>
  <c r="E78" i="1"/>
  <c r="E86" i="1"/>
  <c r="E77" i="1"/>
  <c r="E72" i="1"/>
  <c r="E89" i="1"/>
  <c r="E85" i="1"/>
  <c r="E88" i="1"/>
  <c r="E40" i="11"/>
  <c r="E70" i="1"/>
  <c r="D40" i="21"/>
  <c r="E32" i="21"/>
  <c r="H45" i="11"/>
  <c r="H31" i="11"/>
  <c r="H50" i="22"/>
  <c r="H32" i="24"/>
  <c r="H49" i="22"/>
  <c r="H89" i="22"/>
  <c r="E34" i="21"/>
  <c r="Y13" i="19"/>
  <c r="Y14" i="19"/>
  <c r="AC13" i="19"/>
  <c r="AC14" i="19"/>
  <c r="X13" i="19"/>
  <c r="X14" i="19"/>
  <c r="AB13" i="19"/>
  <c r="AB14" i="19"/>
  <c r="AA13" i="19"/>
  <c r="AA14" i="19"/>
  <c r="Z14" i="19"/>
  <c r="Z13" i="19"/>
  <c r="I71" i="5" l="1"/>
  <c r="F80" i="1"/>
  <c r="K24" i="22"/>
  <c r="K61" i="7"/>
  <c r="L57" i="7" s="1"/>
  <c r="H59" i="1"/>
  <c r="I47" i="5"/>
  <c r="I67" i="5" s="1"/>
  <c r="L41" i="11"/>
  <c r="L46" i="11" s="1"/>
  <c r="L14" i="11"/>
  <c r="J76" i="22"/>
  <c r="J31" i="22"/>
  <c r="C41" i="21"/>
  <c r="F48" i="11"/>
  <c r="F103" i="1"/>
  <c r="F102" i="1"/>
  <c r="F120" i="1"/>
  <c r="F107" i="1"/>
  <c r="F113" i="1"/>
  <c r="F100" i="1"/>
  <c r="F109" i="1"/>
  <c r="F104" i="1"/>
  <c r="F111" i="1"/>
  <c r="F122" i="1"/>
  <c r="F117" i="1"/>
  <c r="F108" i="1"/>
  <c r="F112" i="1"/>
  <c r="F110" i="1"/>
  <c r="F99" i="1"/>
  <c r="F101" i="1"/>
  <c r="F105" i="1"/>
  <c r="F114" i="1"/>
  <c r="F118" i="1"/>
  <c r="F119" i="1"/>
  <c r="I29" i="11"/>
  <c r="J29" i="11"/>
  <c r="F39" i="21"/>
  <c r="F58" i="11"/>
  <c r="K9" i="5"/>
  <c r="K73" i="22"/>
  <c r="K25" i="22"/>
  <c r="F121" i="1"/>
  <c r="I76" i="22"/>
  <c r="I31" i="22"/>
  <c r="G47" i="11"/>
  <c r="G58" i="11" s="1"/>
  <c r="G60" i="1"/>
  <c r="G42" i="11"/>
  <c r="L50" i="7"/>
  <c r="L54" i="7" s="1"/>
  <c r="K62" i="7"/>
  <c r="K21" i="1" s="1"/>
  <c r="K32" i="1" s="1"/>
  <c r="G18" i="1"/>
  <c r="G33" i="1" s="1"/>
  <c r="D36" i="21"/>
  <c r="H8" i="1"/>
  <c r="F61" i="11"/>
  <c r="F79" i="1"/>
  <c r="F71" i="1"/>
  <c r="F89" i="1"/>
  <c r="F77" i="1"/>
  <c r="F84" i="1"/>
  <c r="F76" i="1"/>
  <c r="F73" i="1"/>
  <c r="F78" i="1"/>
  <c r="F83" i="1"/>
  <c r="F92" i="1"/>
  <c r="F90" i="1"/>
  <c r="F87" i="1"/>
  <c r="F91" i="1"/>
  <c r="F86" i="1"/>
  <c r="F72" i="1"/>
  <c r="F93" i="1"/>
  <c r="F95" i="1"/>
  <c r="F82" i="1"/>
  <c r="F74" i="1"/>
  <c r="F85" i="1"/>
  <c r="F88" i="1"/>
  <c r="F94" i="1"/>
  <c r="F75" i="1"/>
  <c r="F40" i="11"/>
  <c r="F70" i="1"/>
  <c r="E35" i="21"/>
  <c r="E40" i="21"/>
  <c r="C44" i="11"/>
  <c r="C56" i="11"/>
  <c r="C50" i="11"/>
  <c r="C21" i="11"/>
  <c r="C39" i="11"/>
  <c r="C26" i="11"/>
  <c r="C33" i="11" s="1"/>
  <c r="G80" i="1" l="1"/>
  <c r="I7" i="5"/>
  <c r="I30" i="5" s="1"/>
  <c r="I10" i="11"/>
  <c r="I32" i="22"/>
  <c r="I35" i="22" s="1"/>
  <c r="I79" i="22"/>
  <c r="I30" i="11" s="1"/>
  <c r="L55" i="7"/>
  <c r="L59" i="7" s="1"/>
  <c r="D41" i="21"/>
  <c r="G48" i="11"/>
  <c r="K9" i="11"/>
  <c r="K23" i="11"/>
  <c r="K28" i="22"/>
  <c r="K30" i="24"/>
  <c r="K74" i="22"/>
  <c r="G105" i="1"/>
  <c r="G103" i="1"/>
  <c r="G100" i="1"/>
  <c r="G110" i="1"/>
  <c r="G102" i="1"/>
  <c r="G111" i="1"/>
  <c r="G104" i="1"/>
  <c r="G112" i="1"/>
  <c r="G113" i="1"/>
  <c r="G108" i="1"/>
  <c r="G122" i="1"/>
  <c r="G107" i="1"/>
  <c r="G109" i="1"/>
  <c r="G120" i="1"/>
  <c r="G117" i="1"/>
  <c r="G101" i="1"/>
  <c r="G99" i="1"/>
  <c r="G114" i="1"/>
  <c r="G118" i="1"/>
  <c r="G119" i="1"/>
  <c r="J7" i="5"/>
  <c r="J30" i="5" s="1"/>
  <c r="J10" i="11"/>
  <c r="J79" i="22"/>
  <c r="J30" i="11" s="1"/>
  <c r="J32" i="22"/>
  <c r="J31" i="24" s="1"/>
  <c r="H47" i="11"/>
  <c r="H58" i="11" s="1"/>
  <c r="H60" i="1"/>
  <c r="H42" i="11"/>
  <c r="G121" i="1"/>
  <c r="J47" i="5"/>
  <c r="J67" i="5" s="1"/>
  <c r="G16" i="11"/>
  <c r="H18" i="1"/>
  <c r="E36" i="21"/>
  <c r="H15" i="11"/>
  <c r="G88" i="1"/>
  <c r="G91" i="1"/>
  <c r="G95" i="1"/>
  <c r="G76" i="1"/>
  <c r="G89" i="1"/>
  <c r="G85" i="1"/>
  <c r="G90" i="1"/>
  <c r="G77" i="1"/>
  <c r="G86" i="1"/>
  <c r="G71" i="1"/>
  <c r="G72" i="1"/>
  <c r="G75" i="1"/>
  <c r="G79" i="1"/>
  <c r="G73" i="1"/>
  <c r="G84" i="1"/>
  <c r="G82" i="1"/>
  <c r="G94" i="1"/>
  <c r="G83" i="1"/>
  <c r="G93" i="1"/>
  <c r="G92" i="1"/>
  <c r="G87" i="1"/>
  <c r="G78" i="1"/>
  <c r="G74" i="1"/>
  <c r="G40" i="11"/>
  <c r="G70" i="1"/>
  <c r="D44" i="11"/>
  <c r="D50" i="11"/>
  <c r="D56" i="11"/>
  <c r="D21" i="11"/>
  <c r="D26" i="11"/>
  <c r="D33" i="11" s="1"/>
  <c r="D39" i="11"/>
  <c r="P2" i="19"/>
  <c r="S2" i="19" s="1"/>
  <c r="V2" i="19" s="1"/>
  <c r="Y2" i="19" s="1"/>
  <c r="AB2" i="19" s="1"/>
  <c r="C66" i="1"/>
  <c r="D66" i="1"/>
  <c r="B66" i="1"/>
  <c r="J35" i="22" l="1"/>
  <c r="J31" i="5"/>
  <c r="J80" i="22"/>
  <c r="I41" i="22"/>
  <c r="I83" i="22"/>
  <c r="I11" i="11"/>
  <c r="I24" i="11"/>
  <c r="E41" i="21"/>
  <c r="H48" i="11"/>
  <c r="J32" i="5"/>
  <c r="J33" i="24" s="1"/>
  <c r="K31" i="22"/>
  <c r="K76" i="22"/>
  <c r="K47" i="5"/>
  <c r="K67" i="5" s="1"/>
  <c r="H101" i="1"/>
  <c r="H117" i="1"/>
  <c r="H109" i="1"/>
  <c r="H120" i="1"/>
  <c r="H112" i="1"/>
  <c r="H110" i="1"/>
  <c r="H100" i="1"/>
  <c r="H108" i="1"/>
  <c r="H103" i="1"/>
  <c r="H104" i="1"/>
  <c r="H107" i="1"/>
  <c r="H111" i="1"/>
  <c r="H122" i="1"/>
  <c r="H113" i="1"/>
  <c r="H102" i="1"/>
  <c r="H99" i="1"/>
  <c r="H105" i="1"/>
  <c r="H114" i="1"/>
  <c r="H118" i="1"/>
  <c r="H119" i="1"/>
  <c r="I31" i="24"/>
  <c r="I31" i="5"/>
  <c r="F33" i="21"/>
  <c r="I80" i="22"/>
  <c r="L24" i="22"/>
  <c r="L61" i="7"/>
  <c r="L62" i="7" s="1"/>
  <c r="L21" i="1" s="1"/>
  <c r="K29" i="11"/>
  <c r="H121" i="1"/>
  <c r="I32" i="5"/>
  <c r="G61" i="11"/>
  <c r="H33" i="1"/>
  <c r="H16" i="11"/>
  <c r="E44" i="11"/>
  <c r="E50" i="11"/>
  <c r="E56" i="11"/>
  <c r="E21" i="11"/>
  <c r="E39" i="11"/>
  <c r="E26" i="11"/>
  <c r="E33" i="11" s="1"/>
  <c r="AA20" i="20"/>
  <c r="C20" i="20"/>
  <c r="AI12" i="20"/>
  <c r="G20" i="20"/>
  <c r="AM20" i="20"/>
  <c r="AA12" i="20"/>
  <c r="AI20" i="20"/>
  <c r="K12" i="20"/>
  <c r="C12" i="20"/>
  <c r="O20" i="20"/>
  <c r="W12" i="20"/>
  <c r="AM12" i="20"/>
  <c r="AE20" i="20"/>
  <c r="K20" i="20"/>
  <c r="O12" i="20"/>
  <c r="S12" i="20"/>
  <c r="G12" i="20"/>
  <c r="W20" i="20"/>
  <c r="S20" i="20"/>
  <c r="AE12" i="20"/>
  <c r="E66" i="1"/>
  <c r="H80" i="1" l="1"/>
  <c r="L32" i="1"/>
  <c r="L9" i="5"/>
  <c r="L73" i="22"/>
  <c r="L25" i="22"/>
  <c r="I33" i="24"/>
  <c r="J68" i="5"/>
  <c r="J71" i="5" s="1"/>
  <c r="F32" i="21"/>
  <c r="I45" i="11"/>
  <c r="I31" i="11"/>
  <c r="F34" i="21"/>
  <c r="I49" i="22"/>
  <c r="I50" i="22"/>
  <c r="I32" i="24"/>
  <c r="I89" i="22"/>
  <c r="K7" i="5"/>
  <c r="K30" i="5" s="1"/>
  <c r="K32" i="22"/>
  <c r="K31" i="24" s="1"/>
  <c r="K79" i="22"/>
  <c r="K30" i="11" s="1"/>
  <c r="K10" i="11"/>
  <c r="J24" i="11"/>
  <c r="J41" i="22"/>
  <c r="J83" i="22"/>
  <c r="J11" i="11"/>
  <c r="H61" i="11"/>
  <c r="H84" i="1"/>
  <c r="H87" i="1"/>
  <c r="H92" i="1"/>
  <c r="H71" i="1"/>
  <c r="H90" i="1"/>
  <c r="H72" i="1"/>
  <c r="H73" i="1"/>
  <c r="H85" i="1"/>
  <c r="H94" i="1"/>
  <c r="H88" i="1"/>
  <c r="H78" i="1"/>
  <c r="H74" i="1"/>
  <c r="H82" i="1"/>
  <c r="H79" i="1"/>
  <c r="H83" i="1"/>
  <c r="H77" i="1"/>
  <c r="H95" i="1"/>
  <c r="H76" i="1"/>
  <c r="H89" i="1"/>
  <c r="H75" i="1"/>
  <c r="H91" i="1"/>
  <c r="H93" i="1"/>
  <c r="H86" i="1"/>
  <c r="H40" i="11"/>
  <c r="H70" i="1"/>
  <c r="Q2" i="19"/>
  <c r="T2" i="19" s="1"/>
  <c r="W2" i="19" s="1"/>
  <c r="Z2" i="19" s="1"/>
  <c r="AC2" i="19" s="1"/>
  <c r="F66" i="1"/>
  <c r="K68" i="5" l="1"/>
  <c r="K71" i="5" s="1"/>
  <c r="I8" i="1"/>
  <c r="L74" i="22"/>
  <c r="L9" i="11"/>
  <c r="L23" i="11"/>
  <c r="L28" i="22"/>
  <c r="L30" i="24"/>
  <c r="K35" i="22"/>
  <c r="K31" i="5"/>
  <c r="K80" i="22"/>
  <c r="I57" i="1"/>
  <c r="I19" i="11"/>
  <c r="J31" i="11"/>
  <c r="J45" i="11"/>
  <c r="K32" i="5"/>
  <c r="L47" i="5"/>
  <c r="L67" i="5" s="1"/>
  <c r="J32" i="24"/>
  <c r="J49" i="22"/>
  <c r="J89" i="22"/>
  <c r="J50" i="22"/>
  <c r="F40" i="21"/>
  <c r="F35" i="21"/>
  <c r="F44" i="11"/>
  <c r="F50" i="11"/>
  <c r="F56" i="11"/>
  <c r="F21" i="11"/>
  <c r="F39" i="11"/>
  <c r="F26" i="11"/>
  <c r="F33" i="11" s="1"/>
  <c r="D12" i="20"/>
  <c r="X12" i="20"/>
  <c r="AN20" i="20"/>
  <c r="AJ12" i="20"/>
  <c r="AF20" i="20"/>
  <c r="AJ20" i="20"/>
  <c r="D20" i="20"/>
  <c r="X20" i="20"/>
  <c r="P20" i="20"/>
  <c r="AN12" i="20"/>
  <c r="L12" i="20"/>
  <c r="P12" i="20"/>
  <c r="L20" i="20"/>
  <c r="AB12" i="20"/>
  <c r="H20" i="20"/>
  <c r="T12" i="20"/>
  <c r="AF12" i="20"/>
  <c r="T20" i="20"/>
  <c r="H12" i="20"/>
  <c r="AB20" i="20"/>
  <c r="G66" i="1"/>
  <c r="K41" i="22" l="1"/>
  <c r="K83" i="22"/>
  <c r="K11" i="11"/>
  <c r="K24" i="11"/>
  <c r="I59" i="1"/>
  <c r="J57" i="1"/>
  <c r="J19" i="11"/>
  <c r="L29" i="11"/>
  <c r="I18" i="1"/>
  <c r="F36" i="21"/>
  <c r="I15" i="11"/>
  <c r="L76" i="22"/>
  <c r="L31" i="22"/>
  <c r="K33" i="24"/>
  <c r="J8" i="1"/>
  <c r="G44" i="11"/>
  <c r="G56" i="11"/>
  <c r="G50" i="11"/>
  <c r="G21" i="11"/>
  <c r="G39" i="11"/>
  <c r="G26" i="11"/>
  <c r="G33" i="11" s="1"/>
  <c r="H66" i="1"/>
  <c r="L68" i="5" l="1"/>
  <c r="L71" i="5" s="1"/>
  <c r="K57" i="1"/>
  <c r="K19" i="11"/>
  <c r="J18" i="1"/>
  <c r="J15" i="11"/>
  <c r="I33" i="1"/>
  <c r="I16" i="11"/>
  <c r="K8" i="1"/>
  <c r="I47" i="11"/>
  <c r="I58" i="11" s="1"/>
  <c r="I60" i="1"/>
  <c r="I42" i="11"/>
  <c r="L7" i="5"/>
  <c r="L30" i="5" s="1"/>
  <c r="L32" i="22"/>
  <c r="L35" i="22" s="1"/>
  <c r="L79" i="22"/>
  <c r="L30" i="11" s="1"/>
  <c r="L10" i="11"/>
  <c r="K45" i="11"/>
  <c r="K31" i="11"/>
  <c r="J59" i="1"/>
  <c r="K32" i="24"/>
  <c r="K49" i="22"/>
  <c r="K50" i="22"/>
  <c r="K89" i="22"/>
  <c r="H44" i="11"/>
  <c r="H56" i="11"/>
  <c r="H50" i="11"/>
  <c r="H21" i="11"/>
  <c r="H26" i="11"/>
  <c r="H33" i="11" s="1"/>
  <c r="H39" i="11"/>
  <c r="I66" i="1"/>
  <c r="I80" i="1" l="1"/>
  <c r="L83" i="22"/>
  <c r="L11" i="11"/>
  <c r="L24" i="11"/>
  <c r="L41" i="22"/>
  <c r="J47" i="11"/>
  <c r="J58" i="11" s="1"/>
  <c r="J60" i="1"/>
  <c r="J121" i="1" s="1"/>
  <c r="J42" i="11"/>
  <c r="J48" i="11" s="1"/>
  <c r="I48" i="11"/>
  <c r="F41" i="21"/>
  <c r="I89" i="1"/>
  <c r="I91" i="1"/>
  <c r="I93" i="1"/>
  <c r="I76" i="1"/>
  <c r="I87" i="1"/>
  <c r="I94" i="1"/>
  <c r="I74" i="1"/>
  <c r="I77" i="1"/>
  <c r="I86" i="1"/>
  <c r="I79" i="1"/>
  <c r="I70" i="1"/>
  <c r="I85" i="1"/>
  <c r="I90" i="1"/>
  <c r="I92" i="1"/>
  <c r="I95" i="1"/>
  <c r="I78" i="1"/>
  <c r="I71" i="1"/>
  <c r="I83" i="1"/>
  <c r="I40" i="11"/>
  <c r="I75" i="1"/>
  <c r="I88" i="1"/>
  <c r="I84" i="1"/>
  <c r="I82" i="1"/>
  <c r="I72" i="1"/>
  <c r="I73" i="1"/>
  <c r="I61" i="11"/>
  <c r="I102" i="1"/>
  <c r="I120" i="1"/>
  <c r="I100" i="1"/>
  <c r="I117" i="1"/>
  <c r="I109" i="1"/>
  <c r="I113" i="1"/>
  <c r="I112" i="1"/>
  <c r="I103" i="1"/>
  <c r="I111" i="1"/>
  <c r="I122" i="1"/>
  <c r="I108" i="1"/>
  <c r="I104" i="1"/>
  <c r="I110" i="1"/>
  <c r="I107" i="1"/>
  <c r="I99" i="1"/>
  <c r="I101" i="1"/>
  <c r="I105" i="1"/>
  <c r="I114" i="1"/>
  <c r="I118" i="1"/>
  <c r="I119" i="1"/>
  <c r="J33" i="1"/>
  <c r="J16" i="11"/>
  <c r="I121" i="1"/>
  <c r="K18" i="1"/>
  <c r="K15" i="11"/>
  <c r="L31" i="24"/>
  <c r="L31" i="5"/>
  <c r="L32" i="5" s="1"/>
  <c r="L80" i="22"/>
  <c r="K59" i="1"/>
  <c r="I44" i="11"/>
  <c r="I50" i="11"/>
  <c r="I56" i="11"/>
  <c r="I21" i="11"/>
  <c r="I26" i="11"/>
  <c r="I33" i="11" s="1"/>
  <c r="I39" i="11"/>
  <c r="J66" i="1"/>
  <c r="J80" i="1" l="1"/>
  <c r="L33" i="24"/>
  <c r="L8" i="1"/>
  <c r="K16" i="11"/>
  <c r="K33" i="1"/>
  <c r="J120" i="1"/>
  <c r="J109" i="1"/>
  <c r="J104" i="1"/>
  <c r="J117" i="1"/>
  <c r="J108" i="1"/>
  <c r="J100" i="1"/>
  <c r="J102" i="1"/>
  <c r="J107" i="1"/>
  <c r="J111" i="1"/>
  <c r="J103" i="1"/>
  <c r="J113" i="1"/>
  <c r="J122" i="1"/>
  <c r="J110" i="1"/>
  <c r="J112" i="1"/>
  <c r="J101" i="1"/>
  <c r="J99" i="1"/>
  <c r="J105" i="1"/>
  <c r="J114" i="1"/>
  <c r="J118" i="1"/>
  <c r="J119" i="1"/>
  <c r="J61" i="11"/>
  <c r="L89" i="22"/>
  <c r="L32" i="24"/>
  <c r="L49" i="22"/>
  <c r="L50" i="22"/>
  <c r="K47" i="11"/>
  <c r="K58" i="11" s="1"/>
  <c r="K60" i="1"/>
  <c r="K42" i="11"/>
  <c r="K48" i="11" s="1"/>
  <c r="J87" i="1"/>
  <c r="J85" i="1"/>
  <c r="J95" i="1"/>
  <c r="J72" i="1"/>
  <c r="J90" i="1"/>
  <c r="J74" i="1"/>
  <c r="J76" i="1"/>
  <c r="J83" i="1"/>
  <c r="J82" i="1"/>
  <c r="J86" i="1"/>
  <c r="J79" i="1"/>
  <c r="J84" i="1"/>
  <c r="J73" i="1"/>
  <c r="J91" i="1"/>
  <c r="J92" i="1"/>
  <c r="J75" i="1"/>
  <c r="J94" i="1"/>
  <c r="J77" i="1"/>
  <c r="J40" i="11"/>
  <c r="J70" i="1"/>
  <c r="J71" i="1"/>
  <c r="J78" i="1"/>
  <c r="J89" i="1"/>
  <c r="J88" i="1"/>
  <c r="J93" i="1"/>
  <c r="L45" i="11"/>
  <c r="L31" i="11"/>
  <c r="J44" i="11"/>
  <c r="J56" i="11"/>
  <c r="J50" i="11"/>
  <c r="J21" i="11"/>
  <c r="J39" i="11"/>
  <c r="J26" i="11"/>
  <c r="J33" i="11" s="1"/>
  <c r="K66" i="1"/>
  <c r="K80" i="1" l="1"/>
  <c r="K107" i="1"/>
  <c r="K117" i="1"/>
  <c r="K112" i="1"/>
  <c r="K103" i="1"/>
  <c r="K108" i="1"/>
  <c r="K120" i="1"/>
  <c r="K100" i="1"/>
  <c r="K102" i="1"/>
  <c r="K104" i="1"/>
  <c r="K122" i="1"/>
  <c r="K111" i="1"/>
  <c r="K109" i="1"/>
  <c r="K113" i="1"/>
  <c r="K110" i="1"/>
  <c r="K101" i="1"/>
  <c r="K99" i="1"/>
  <c r="K105" i="1"/>
  <c r="K114" i="1"/>
  <c r="K118" i="1"/>
  <c r="K119" i="1"/>
  <c r="K79" i="1"/>
  <c r="K82" i="1"/>
  <c r="K72" i="1"/>
  <c r="K78" i="1"/>
  <c r="K76" i="1"/>
  <c r="K84" i="1"/>
  <c r="K85" i="1"/>
  <c r="K92" i="1"/>
  <c r="K86" i="1"/>
  <c r="K88" i="1"/>
  <c r="K77" i="1"/>
  <c r="K40" i="11"/>
  <c r="K94" i="1"/>
  <c r="K95" i="1"/>
  <c r="K83" i="1"/>
  <c r="K93" i="1"/>
  <c r="K70" i="1"/>
  <c r="K91" i="1"/>
  <c r="K75" i="1"/>
  <c r="K73" i="1"/>
  <c r="K90" i="1"/>
  <c r="K89" i="1"/>
  <c r="K74" i="1"/>
  <c r="K87" i="1"/>
  <c r="K71" i="1"/>
  <c r="K61" i="11"/>
  <c r="K121" i="1"/>
  <c r="L18" i="1"/>
  <c r="L15" i="11"/>
  <c r="L57" i="1"/>
  <c r="L19" i="11"/>
  <c r="K44" i="11"/>
  <c r="K56" i="11"/>
  <c r="K50" i="11"/>
  <c r="K21" i="11"/>
  <c r="K39" i="11"/>
  <c r="K26" i="11"/>
  <c r="K33" i="11" s="1"/>
  <c r="L66" i="1"/>
  <c r="L59" i="1" l="1"/>
  <c r="L33" i="1"/>
  <c r="L16" i="11"/>
  <c r="L44" i="11"/>
  <c r="L56" i="11"/>
  <c r="L50" i="11"/>
  <c r="L21" i="11"/>
  <c r="L26" i="11"/>
  <c r="L33" i="11" s="1"/>
  <c r="L39" i="11"/>
  <c r="L80" i="1" l="1"/>
  <c r="L75" i="1"/>
  <c r="L89" i="1"/>
  <c r="L76" i="1"/>
  <c r="L77" i="1"/>
  <c r="L84" i="1"/>
  <c r="L79" i="1"/>
  <c r="L82" i="1"/>
  <c r="L78" i="1"/>
  <c r="L73" i="1"/>
  <c r="L93" i="1"/>
  <c r="L40" i="11"/>
  <c r="L87" i="1"/>
  <c r="L94" i="1"/>
  <c r="L74" i="1"/>
  <c r="L92" i="1"/>
  <c r="L95" i="1"/>
  <c r="L83" i="1"/>
  <c r="L91" i="1"/>
  <c r="L88" i="1"/>
  <c r="L71" i="1"/>
  <c r="L72" i="1"/>
  <c r="L86" i="1"/>
  <c r="L85" i="1"/>
  <c r="L90" i="1"/>
  <c r="L70" i="1"/>
  <c r="L61" i="11"/>
  <c r="L47" i="11"/>
  <c r="L58" i="11" s="1"/>
  <c r="L60" i="1"/>
  <c r="L121" i="1" s="1"/>
  <c r="L42" i="11"/>
  <c r="L48" i="11" s="1"/>
  <c r="L120" i="1" l="1"/>
  <c r="L109" i="1"/>
  <c r="L122" i="1"/>
  <c r="L111" i="1"/>
  <c r="L102" i="1"/>
  <c r="L108" i="1"/>
  <c r="L117" i="1"/>
  <c r="L100" i="1"/>
  <c r="L112" i="1"/>
  <c r="L110" i="1"/>
  <c r="L104" i="1"/>
  <c r="L107" i="1"/>
  <c r="L113" i="1"/>
  <c r="L103" i="1"/>
  <c r="L101" i="1"/>
  <c r="L99" i="1"/>
  <c r="L105" i="1"/>
  <c r="L114" i="1"/>
  <c r="L118" i="1"/>
  <c r="L119" i="1"/>
</calcChain>
</file>

<file path=xl/sharedStrings.xml><?xml version="1.0" encoding="utf-8"?>
<sst xmlns="http://schemas.openxmlformats.org/spreadsheetml/2006/main" count="554" uniqueCount="377">
  <si>
    <t>ASSETS</t>
  </si>
  <si>
    <t>Inventories</t>
  </si>
  <si>
    <t>EBITDA</t>
  </si>
  <si>
    <t>Cash Flow Statement</t>
  </si>
  <si>
    <t>Balance Sheet</t>
  </si>
  <si>
    <t>Basic</t>
  </si>
  <si>
    <t>Diluted</t>
  </si>
  <si>
    <t>Revenue</t>
  </si>
  <si>
    <t>Revenue Growth</t>
  </si>
  <si>
    <t>Depreciation</t>
  </si>
  <si>
    <t>Amortization</t>
  </si>
  <si>
    <t>Current Market Price</t>
  </si>
  <si>
    <t>Gross Profit Margin (%)</t>
  </si>
  <si>
    <t>Market Capitalisation</t>
  </si>
  <si>
    <t>Net Debt</t>
  </si>
  <si>
    <t>Enterprise Value (EV)</t>
  </si>
  <si>
    <t>WACC</t>
  </si>
  <si>
    <t>Revenues</t>
  </si>
  <si>
    <t>EBIT</t>
  </si>
  <si>
    <t>Operating Cash Flow</t>
  </si>
  <si>
    <t>Capex</t>
  </si>
  <si>
    <t>FCF</t>
  </si>
  <si>
    <t>Terminal Value</t>
  </si>
  <si>
    <t>Enterprise Value</t>
  </si>
  <si>
    <t>Equity Value</t>
  </si>
  <si>
    <t>MARGINS</t>
  </si>
  <si>
    <t>RETURNS</t>
  </si>
  <si>
    <t>Statutory Tax Rate</t>
  </si>
  <si>
    <t>Income Statement</t>
  </si>
  <si>
    <t>Tax Rate</t>
  </si>
  <si>
    <t>Ratio Snapshot</t>
  </si>
  <si>
    <t>Mean</t>
  </si>
  <si>
    <t>Median</t>
  </si>
  <si>
    <t>Depreciation &amp; Amortization</t>
  </si>
  <si>
    <t>Assumptions</t>
  </si>
  <si>
    <t>Industry</t>
  </si>
  <si>
    <t>Sector</t>
  </si>
  <si>
    <t>Year end</t>
  </si>
  <si>
    <t>EV/Sales</t>
  </si>
  <si>
    <t>EV/EBITDA</t>
  </si>
  <si>
    <t>Current Investment</t>
  </si>
  <si>
    <t>Provisions</t>
  </si>
  <si>
    <t>Disposal</t>
  </si>
  <si>
    <t>Acquisitions</t>
  </si>
  <si>
    <t>Net Block</t>
  </si>
  <si>
    <t>Sh. Price</t>
  </si>
  <si>
    <t>Debt</t>
  </si>
  <si>
    <t>Price / Revenue</t>
  </si>
  <si>
    <t>Company</t>
  </si>
  <si>
    <t>Company 9</t>
  </si>
  <si>
    <t>Company 10</t>
  </si>
  <si>
    <t xml:space="preserve">Sales </t>
  </si>
  <si>
    <t>PAT</t>
  </si>
  <si>
    <t>Price/Earnings</t>
  </si>
  <si>
    <t>Report Name 1 (Date)</t>
  </si>
  <si>
    <t>Report Name 2 (Date)</t>
  </si>
  <si>
    <t>Report Name 3 (Date)</t>
  </si>
  <si>
    <t>Report Name 4 (Date)</t>
  </si>
  <si>
    <t>(INR)</t>
  </si>
  <si>
    <t>TSO</t>
  </si>
  <si>
    <t>Minority Interest</t>
  </si>
  <si>
    <t>Cash &amp; Investments</t>
  </si>
  <si>
    <t>Mkt. Cap</t>
  </si>
  <si>
    <t>COMPANY DESCRIPTION</t>
  </si>
  <si>
    <t>Particulars</t>
  </si>
  <si>
    <t>(In INR Crores, unless otherwise stated)</t>
  </si>
  <si>
    <t>Pre-Tax Margin (%)</t>
  </si>
  <si>
    <t>EBITDA Margin (%)</t>
  </si>
  <si>
    <t>EBIT Margin (%)</t>
  </si>
  <si>
    <t>Receivable Days</t>
  </si>
  <si>
    <t>Inventory Days</t>
  </si>
  <si>
    <t xml:space="preserve">Payable Days </t>
  </si>
  <si>
    <t>Cash Operating Cycle (Days)</t>
  </si>
  <si>
    <t>Return on Avg Cap Employed (%)</t>
  </si>
  <si>
    <t>(in INR Crores, unless otherwise stated)</t>
  </si>
  <si>
    <t>PARTICULARS</t>
  </si>
  <si>
    <t>Other Income</t>
  </si>
  <si>
    <t/>
  </si>
  <si>
    <t>Cash And Cash Equivalents</t>
  </si>
  <si>
    <t>Bank Balance</t>
  </si>
  <si>
    <t>Short-Term Loans And Advances</t>
  </si>
  <si>
    <t>Total Current Assets</t>
  </si>
  <si>
    <t>Other Intangible Assets</t>
  </si>
  <si>
    <t>Capital Work-In-Progress</t>
  </si>
  <si>
    <t>Long-Term Investments</t>
  </si>
  <si>
    <t>Deferred Tax Assets (Net)</t>
  </si>
  <si>
    <t>Long-Term Loans And Advances</t>
  </si>
  <si>
    <t>Total Assets</t>
  </si>
  <si>
    <t xml:space="preserve">Accounts Payable </t>
  </si>
  <si>
    <t>Short-Term Borrowings</t>
  </si>
  <si>
    <t>Other Current Liabilities</t>
  </si>
  <si>
    <t>Short-Term Provisions</t>
  </si>
  <si>
    <t>Total Current Liabilities</t>
  </si>
  <si>
    <t>Long-Term Debt</t>
  </si>
  <si>
    <t xml:space="preserve">Deferred Tax Liabilities (Net) </t>
  </si>
  <si>
    <t xml:space="preserve">Other Long-Term Liabilities </t>
  </si>
  <si>
    <t>Long-Term Provisions</t>
  </si>
  <si>
    <t>Total Liabilities</t>
  </si>
  <si>
    <t>Shareholder'S Equity:</t>
  </si>
  <si>
    <t>Share Capital</t>
  </si>
  <si>
    <t>Reserves And Surplus</t>
  </si>
  <si>
    <t>Total Shareholder'S Equity</t>
  </si>
  <si>
    <t>Total Equity</t>
  </si>
  <si>
    <t>Total Liabilities And Equity</t>
  </si>
  <si>
    <t>LIABILITIES &amp; EQUITY</t>
  </si>
  <si>
    <t>PPE, Net</t>
  </si>
  <si>
    <t>Tangible Assets</t>
  </si>
  <si>
    <t>Gross Assets (Opening)</t>
  </si>
  <si>
    <t>Gross Assets (Ending)</t>
  </si>
  <si>
    <t>Accumulated Depreciation (Opening)</t>
  </si>
  <si>
    <t>Depreciation For The Year</t>
  </si>
  <si>
    <t>Accumulated Depreciation (Ending)</t>
  </si>
  <si>
    <t>Accumulated Amortization (Opening)</t>
  </si>
  <si>
    <t>Intangible Assets</t>
  </si>
  <si>
    <t>Amortization For The Year</t>
  </si>
  <si>
    <t>Cash Flows From Operating Activities:</t>
  </si>
  <si>
    <t>Profit For The Year</t>
  </si>
  <si>
    <t xml:space="preserve">Adjustments To Reconcile Net Income To Cash Provided By Operating Activities </t>
  </si>
  <si>
    <t>Profit On Sale Of Investments (Net)</t>
  </si>
  <si>
    <t>Provision For Doubtful Trade Receivables And Advances</t>
  </si>
  <si>
    <t>Share Of (Profit) / Loss Of Associate Companies (Net)</t>
  </si>
  <si>
    <t>Share Of Minority Interest</t>
  </si>
  <si>
    <t>Interest / Dividend (Net)</t>
  </si>
  <si>
    <t>Increase In Inventories</t>
  </si>
  <si>
    <t>(Increase) Decrease In Accounts Receivable</t>
  </si>
  <si>
    <t>(Increase) Decrease In Finance Receivable</t>
  </si>
  <si>
    <t>Other Current And Non-Current Assets</t>
  </si>
  <si>
    <t>Trade Payables</t>
  </si>
  <si>
    <t>Other Current And Non-Current Liabilities</t>
  </si>
  <si>
    <t>Cash Provided By Operating Activities</t>
  </si>
  <si>
    <t>Income Taxes Paid (Net)</t>
  </si>
  <si>
    <t>Cash Flows From Investing Activities:</t>
  </si>
  <si>
    <t>Payments For Fixed Assets</t>
  </si>
  <si>
    <t>Proceeds From Sale Of Fixed Assets</t>
  </si>
  <si>
    <t>Cash Flows From Financing Activities:</t>
  </si>
  <si>
    <t>Repayment Of Long Term Borrowings</t>
  </si>
  <si>
    <t>Proceeds From Short Term Borrowings</t>
  </si>
  <si>
    <t>Repayment Of Short Term Borrowings</t>
  </si>
  <si>
    <t>Dividend Paid (Including Dividend Distribution Tax)</t>
  </si>
  <si>
    <t>Dividend Paid To Minority Shareholders</t>
  </si>
  <si>
    <t>Interest Paid</t>
  </si>
  <si>
    <t>Increase (Decrease) In Cash And Cash Equivalents</t>
  </si>
  <si>
    <t>Cash And Cash Equivalents At Beginning Of Period</t>
  </si>
  <si>
    <t>Cash And Cash Equivalent On Acquisition Of Subsidiary</t>
  </si>
  <si>
    <t>Effect Of Exchange Rate Change On Cash</t>
  </si>
  <si>
    <t>Other Adjustments 6</t>
  </si>
  <si>
    <t>Other Investing Activity 6</t>
  </si>
  <si>
    <t>Other Investing Activity 9</t>
  </si>
  <si>
    <t>Other Investing Activity 5</t>
  </si>
  <si>
    <t>Other Investing Activity 7</t>
  </si>
  <si>
    <t>Other Investing Activity 8</t>
  </si>
  <si>
    <t>Other Investing Activity 10</t>
  </si>
  <si>
    <t>Other Financing Activity 6</t>
  </si>
  <si>
    <t>Other Financing Activity 7</t>
  </si>
  <si>
    <t>Other Financing Activity 8</t>
  </si>
  <si>
    <t>CALCULATION OF FREE CASH FLOW</t>
  </si>
  <si>
    <t>Present Value of Terminal Value</t>
  </si>
  <si>
    <t>Long Term Growth Rate</t>
  </si>
  <si>
    <t>Common size Income Statement</t>
  </si>
  <si>
    <t>GROWTH</t>
  </si>
  <si>
    <t>LIQUIDITY</t>
  </si>
  <si>
    <t>PBT</t>
  </si>
  <si>
    <t>Fixed Assets</t>
  </si>
  <si>
    <t>Cash &amp; Cash Equivalents</t>
  </si>
  <si>
    <t>Long Term Debts and Borrowing</t>
  </si>
  <si>
    <t>Share holders fund</t>
  </si>
  <si>
    <t>Equity</t>
  </si>
  <si>
    <t>Working Capital</t>
  </si>
  <si>
    <t>Financial Year</t>
  </si>
  <si>
    <t>COGS</t>
  </si>
  <si>
    <t>Gross Profit</t>
  </si>
  <si>
    <t>Tax Expenses</t>
  </si>
  <si>
    <t>Profit After Tax</t>
  </si>
  <si>
    <t>Cash</t>
  </si>
  <si>
    <t>Net Margin (%)</t>
  </si>
  <si>
    <t>Net Profit / EBITDA</t>
  </si>
  <si>
    <t>Gross Margin (%)</t>
  </si>
  <si>
    <t>Net Profit (%)</t>
  </si>
  <si>
    <t>Expectations in 5 Years: 2021 - 2025</t>
  </si>
  <si>
    <t>Cash vs PAT  2021 - 2025</t>
  </si>
  <si>
    <t>COMPANY DETAILS</t>
  </si>
  <si>
    <t>Market Capitalization</t>
  </si>
  <si>
    <t>DEBT and Market Cap</t>
  </si>
  <si>
    <t>HIGHLIGHTS FROM INCOME STATEMENT</t>
  </si>
  <si>
    <t>HIGHLIGHTS FROM BALANCE SHEET</t>
  </si>
  <si>
    <t>ROA</t>
  </si>
  <si>
    <t>Financial Leverage</t>
  </si>
  <si>
    <t>ROE</t>
  </si>
  <si>
    <t>% Growth Revenue</t>
  </si>
  <si>
    <t>Dodla Dairy Limited</t>
  </si>
  <si>
    <t>Heritage Foods LTD</t>
  </si>
  <si>
    <t>Umang Dairies LTD</t>
  </si>
  <si>
    <t>Parag Milk Foods Ltd</t>
  </si>
  <si>
    <t>Hatsun Agro Products LTD</t>
  </si>
  <si>
    <t>MilkFood LTD</t>
  </si>
  <si>
    <t>ICICI SECURITIES</t>
  </si>
  <si>
    <t>Parag Milk Foods</t>
  </si>
  <si>
    <t>Dodla Dairy</t>
  </si>
  <si>
    <t>Heritage Foods</t>
  </si>
  <si>
    <t>MilkFood Ltd</t>
  </si>
  <si>
    <t>Umang Dairies Ltd</t>
  </si>
  <si>
    <t>Hatsun Agro Products Ltd</t>
  </si>
  <si>
    <t>LTM Dec 21</t>
  </si>
  <si>
    <t>Revenue (mlln)</t>
  </si>
  <si>
    <t>EBITDA (mlln)</t>
  </si>
  <si>
    <t>PAT (mlln)</t>
  </si>
  <si>
    <t>(MLLN)</t>
  </si>
  <si>
    <t>(INR MLLN)</t>
  </si>
  <si>
    <t>LTM Dec21</t>
  </si>
  <si>
    <t>Edelweiss Research</t>
  </si>
  <si>
    <t>Britannia Industries Ltd.</t>
  </si>
  <si>
    <t>hdfc securities</t>
  </si>
  <si>
    <t>Motilal Oswal</t>
  </si>
  <si>
    <t>Idbi Capital</t>
  </si>
  <si>
    <t>Axis Securities</t>
  </si>
  <si>
    <t>DFM Foods</t>
  </si>
  <si>
    <t>Rudra Share</t>
  </si>
  <si>
    <t>Hdfc Securities</t>
  </si>
  <si>
    <t>[FMCG]</t>
  </si>
  <si>
    <t>[2021]</t>
  </si>
  <si>
    <t>Revenue Growth y-o-y</t>
  </si>
  <si>
    <t>EBIT Growth y-o-y</t>
  </si>
  <si>
    <t>PAT growth y-o-y</t>
  </si>
  <si>
    <t>PAT Margin (%)</t>
  </si>
  <si>
    <t>SOLVENCY RATIOS</t>
  </si>
  <si>
    <t>DuPONT ANALYSIS</t>
  </si>
  <si>
    <t>Asset Turnover (x)</t>
  </si>
  <si>
    <t>Return On Equity (%)</t>
  </si>
  <si>
    <t>Interest Coverage Ration</t>
  </si>
  <si>
    <t xml:space="preserve">Net Debt/Equity </t>
  </si>
  <si>
    <t>TURNOVER RATIOS</t>
  </si>
  <si>
    <t>Working Capital Turnover Ratio</t>
  </si>
  <si>
    <t>EXPENDITURE RATIOS</t>
  </si>
  <si>
    <t>Cost of Goods Sold as % of Revenue</t>
  </si>
  <si>
    <t>Employee Expenses as % of Revenue</t>
  </si>
  <si>
    <t>Advertisement Expenses as % of Revenue</t>
  </si>
  <si>
    <t>Revenue from Operation</t>
  </si>
  <si>
    <t>Total Income</t>
  </si>
  <si>
    <t>Cost of materials consumed</t>
  </si>
  <si>
    <t>Purchase</t>
  </si>
  <si>
    <t xml:space="preserve">Changes in stock </t>
  </si>
  <si>
    <t>Cost of Goods Sold</t>
  </si>
  <si>
    <t>Employment Benefit Expenses</t>
  </si>
  <si>
    <t>Total Expenditure</t>
  </si>
  <si>
    <t>Interest</t>
  </si>
  <si>
    <t>Profit before Prior Period Items and Tax</t>
  </si>
  <si>
    <t>Profit/Loss before Taxation</t>
  </si>
  <si>
    <t>Current Tax</t>
  </si>
  <si>
    <t>Provision for Deferred tax</t>
  </si>
  <si>
    <t>Profit/Loss after Tax</t>
  </si>
  <si>
    <t>Share of loss/profits of associates</t>
  </si>
  <si>
    <t>Other Comprehensive Income</t>
  </si>
  <si>
    <t>Item #4</t>
  </si>
  <si>
    <t>Minority Interests</t>
  </si>
  <si>
    <t>Number of Shares Issued:</t>
  </si>
  <si>
    <t>Earnings per share :</t>
  </si>
  <si>
    <t>Other Current Assets</t>
  </si>
  <si>
    <t>Depreciation as % of Gross Block</t>
  </si>
  <si>
    <t>Ammortisation as a % of Gross Block</t>
  </si>
  <si>
    <t>Revenue / Gross Block (Tangible)</t>
  </si>
  <si>
    <t>Revenue / Gross Block (Intangible)</t>
  </si>
  <si>
    <t>Accounts Receivables</t>
  </si>
  <si>
    <t>(in INR Crores)</t>
  </si>
  <si>
    <t>COMMON SIZE BALANCE SHEET</t>
  </si>
  <si>
    <t>Accounts Receivable Turnover</t>
  </si>
  <si>
    <t>Inventory Turnover</t>
  </si>
  <si>
    <t>Accounts Payable Turnover</t>
  </si>
  <si>
    <t>Effective Interest Rate</t>
  </si>
  <si>
    <t>INCOME STATEMENTS</t>
  </si>
  <si>
    <t>FY2020 A</t>
  </si>
  <si>
    <t>FY2022 E</t>
  </si>
  <si>
    <t>FY2023 E</t>
  </si>
  <si>
    <t>FY2024 E</t>
  </si>
  <si>
    <t>FY2025 E</t>
  </si>
  <si>
    <t>FY2026 E</t>
  </si>
  <si>
    <t>FY2027 E</t>
  </si>
  <si>
    <t>FY2028 E</t>
  </si>
  <si>
    <t>FY2029 E</t>
  </si>
  <si>
    <t>FY2019 A</t>
  </si>
  <si>
    <t>FY2021 A</t>
  </si>
  <si>
    <t>Particular</t>
  </si>
  <si>
    <t>Excise Duty</t>
  </si>
  <si>
    <t>Other Expense 2</t>
  </si>
  <si>
    <t>Other Expense 3</t>
  </si>
  <si>
    <t>Other Tax</t>
  </si>
  <si>
    <t>Exceptional Items</t>
  </si>
  <si>
    <t>Reassesment of defined benefit</t>
  </si>
  <si>
    <t>Income tax related income</t>
  </si>
  <si>
    <t>Total Non-Current Assets</t>
  </si>
  <si>
    <t>Total Non-Current Liabilities</t>
  </si>
  <si>
    <t>Assets</t>
  </si>
  <si>
    <t>Other Current Assets 3</t>
  </si>
  <si>
    <t>Investment Property</t>
  </si>
  <si>
    <t>Other items 3</t>
  </si>
  <si>
    <t>Other Items 2</t>
  </si>
  <si>
    <t>Other items</t>
  </si>
  <si>
    <t>Other Items</t>
  </si>
  <si>
    <t>ASSET SCHEDULE</t>
  </si>
  <si>
    <t>Accumulated Depreciation On Acquisitions During The Year/exchange difference</t>
  </si>
  <si>
    <t>Accumulated Amortization On Acquisitions During The Year</t>
  </si>
  <si>
    <t>Esop expense</t>
  </si>
  <si>
    <t xml:space="preserve">Net gain on financial asset measured </t>
  </si>
  <si>
    <t>Interest Income</t>
  </si>
  <si>
    <t>Finance cost</t>
  </si>
  <si>
    <t>Adjustment for working capital</t>
  </si>
  <si>
    <t>Net Cash Flow From Operating Activities</t>
  </si>
  <si>
    <t>Inter corporate deposit</t>
  </si>
  <si>
    <t>Redeem of inter corporate deposit</t>
  </si>
  <si>
    <t>Interest received</t>
  </si>
  <si>
    <t>Net Cash Flow From Investing Activities</t>
  </si>
  <si>
    <t>Payment of bonus debenture</t>
  </si>
  <si>
    <t>Net Cash Used In Financing Activities</t>
  </si>
  <si>
    <t>Cash And Cash Equivalent At The end of period</t>
  </si>
  <si>
    <t>FY 2022</t>
  </si>
  <si>
    <t>FY 2023</t>
  </si>
  <si>
    <t xml:space="preserve">Return on Assets </t>
  </si>
  <si>
    <t>Foreign Currency translation reserve</t>
  </si>
  <si>
    <t>Other Financial Assets</t>
  </si>
  <si>
    <t>Investment In Associates</t>
  </si>
  <si>
    <t>Other Non Current Assets</t>
  </si>
  <si>
    <t>Current tax Liabilities</t>
  </si>
  <si>
    <t>Governmnet Grant</t>
  </si>
  <si>
    <t>Profit On Sale Of Assets (Including Assets Scrapped / Written Off)</t>
  </si>
  <si>
    <t xml:space="preserve">Share Based Payment </t>
  </si>
  <si>
    <t>Purchase/sale of investment</t>
  </si>
  <si>
    <t>Proceeds From Share Allotment</t>
  </si>
  <si>
    <t>payment of debenture and interest</t>
  </si>
  <si>
    <t>Principle payment of lease liabilities</t>
  </si>
  <si>
    <t>Interest Paid on lease liabilities</t>
  </si>
  <si>
    <t>Issue Of bonus debenture</t>
  </si>
  <si>
    <t xml:space="preserve"> </t>
  </si>
  <si>
    <t>[Britannia LTD.]</t>
  </si>
  <si>
    <t>Packaged Foods</t>
  </si>
  <si>
    <t>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</si>
  <si>
    <t>Cash and Cash Equivalent</t>
  </si>
  <si>
    <t>Shares #</t>
  </si>
  <si>
    <t>CMP</t>
  </si>
  <si>
    <t>Ordinary shares</t>
  </si>
  <si>
    <t>Net Operating Profit After Taxes</t>
  </si>
  <si>
    <t>FY2023</t>
  </si>
  <si>
    <t>Cost of Equity (Ke)</t>
  </si>
  <si>
    <t>Stock Beta</t>
  </si>
  <si>
    <t xml:space="preserve">Long Term Cost of Debt </t>
  </si>
  <si>
    <t>Tax Rate (@)</t>
  </si>
  <si>
    <t>Number of Shares Outstanding</t>
  </si>
  <si>
    <t>Current market Price</t>
  </si>
  <si>
    <t>Carriage, freight and distribution</t>
  </si>
  <si>
    <t>Advertising and sales promotion</t>
  </si>
  <si>
    <t>Conversion charges</t>
  </si>
  <si>
    <t xml:space="preserve">Other Expenses </t>
  </si>
  <si>
    <t>Total Comprehensive Income to common shareholders</t>
  </si>
  <si>
    <t>Britannia Limited</t>
  </si>
  <si>
    <t>Exchange Difference</t>
  </si>
  <si>
    <t>Adjustments</t>
  </si>
  <si>
    <t>Transitions</t>
  </si>
  <si>
    <t>Average Gross Block</t>
  </si>
  <si>
    <t>Average Gross Assets</t>
  </si>
  <si>
    <t>Depreciation &amp; Ammortization</t>
  </si>
  <si>
    <t>Goodwill on Consolidation</t>
  </si>
  <si>
    <t>Debt/Equity</t>
  </si>
  <si>
    <t>Other Liabilities turnover</t>
  </si>
  <si>
    <t>Dividends</t>
  </si>
  <si>
    <t>Dividend payout ratio</t>
  </si>
  <si>
    <t>Risk Free rate</t>
  </si>
  <si>
    <t>Market Premium</t>
  </si>
  <si>
    <t>market Return</t>
  </si>
  <si>
    <t xml:space="preserve">Weight of Equity </t>
  </si>
  <si>
    <t>Weight of Debt</t>
  </si>
  <si>
    <t>Total Debt</t>
  </si>
  <si>
    <t>Discount Factor</t>
  </si>
  <si>
    <t>Years to Discount</t>
  </si>
  <si>
    <t>PV</t>
  </si>
  <si>
    <t xml:space="preserve">Sum of PV </t>
  </si>
  <si>
    <t>FCF8 (1 + long term growth rate) / (WACC - long term rate)</t>
  </si>
  <si>
    <t xml:space="preserve">Company's EV </t>
  </si>
  <si>
    <t>Add Q1, Q2 and Q3 of 2021-22</t>
  </si>
  <si>
    <t>Subtracted Q1, Q2 and Q3 of 2020-21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</si>
</sst>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9">
    <numFmt numFmtId="43" formatCode="_ * #,##0.00_ ;_ * \-#,##0.00_ ;_ * &quot;-&quot;??_ ;_ @_ "/>
    <numFmt numFmtId="164" formatCode="_(* #,##0_);_(* \(#,##0\);_(* &quot;-&quot;_);_(@_)"/>
    <numFmt numFmtId="165" formatCode="_(* #,##0.00_);_(* \(#,##0.00\);_(* &quot;-&quot;??_);_(@_)"/>
    <numFmt numFmtId="166" formatCode="_(* #,##0_);_(* \(#,##0\);_(* &quot;-&quot;??_);_(@_)"/>
    <numFmt numFmtId="167" formatCode="0.0%"/>
    <numFmt numFmtId="168" formatCode="_(* #,##0.0_);_(* \(#,##0.0\);_(* &quot;-&quot;??_);_(@_)"/>
    <numFmt numFmtId="169" formatCode="0;\(0\)"/>
    <numFmt numFmtId="170" formatCode="&quot;FY&quot;yyyy\ &quot;E&quot;"/>
    <numFmt numFmtId="171" formatCode="&quot;FY&quot;yyyy\ &quot;A&quot;"/>
    <numFmt numFmtId="172" formatCode="_(* #,##0.000_);_(* \(#,##0.000\);_(* &quot;-&quot;??_);_(@_)"/>
    <numFmt numFmtId="173" formatCode="0.0\x;\(0.0\x\)"/>
    <numFmt numFmtId="174" formatCode="yyyy&quot;E&quot;"/>
    <numFmt numFmtId="175" formatCode="_ * #,##0_ ;_ * \-#,##0_ ;_ * &quot;-&quot;??_ ;_ @_ "/>
    <numFmt numFmtId="176" formatCode="0.0"/>
    <numFmt numFmtId="177" formatCode="0.000"/>
    <numFmt numFmtId="178" formatCode="#,##0.00_ ;\-#,##0.00\ "/>
    <numFmt numFmtId="179" formatCode="_ * #,##0.0000_ ;_ * \-#,##0.0000_ ;_ * &quot;-&quot;??_ ;_ @_ "/>
    <numFmt numFmtId="180" formatCode="_ * #,##0.0_ ;_ * \-#,##0.0_ ;_ * &quot;-&quot;??_ ;_ @_ "/>
    <numFmt numFmtId="181" formatCode="0.00000%"/>
  </numFmts>
  <fonts count="108" x14ac:knownFonts="1">
    <font>
      <sz val="11"/>
      <color theme="1"/>
      <name val="Calibri"/>
      <family val="2"/>
      <scheme val="minor"/>
    </font>
    <font>
      <sz val="8"/>
      <name val="Arial"/>
      <family val="2"/>
    </font>
    <font>
      <sz val="11"/>
      <color theme="1"/>
      <name val="Calibri"/>
      <family val="2"/>
      <scheme val="minor"/>
    </font>
    <font>
      <sz val="10"/>
      <color theme="1"/>
      <name val="Calibri"/>
      <family val="2"/>
      <scheme val="minor"/>
    </font>
    <font>
      <b/>
      <sz val="10"/>
      <color indexed="9"/>
      <name val="Calibri"/>
      <family val="2"/>
      <scheme val="minor"/>
    </font>
    <font>
      <b/>
      <sz val="10"/>
      <name val="Calibri"/>
      <family val="2"/>
      <scheme val="minor"/>
    </font>
    <font>
      <b/>
      <sz val="10"/>
      <color theme="0"/>
      <name val="Calibri"/>
      <family val="2"/>
      <scheme val="minor"/>
    </font>
    <font>
      <sz val="10"/>
      <name val="Calibri"/>
      <family val="2"/>
      <scheme val="minor"/>
    </font>
    <font>
      <sz val="10"/>
      <name val="Arial"/>
      <family val="2"/>
    </font>
    <font>
      <b/>
      <sz val="10"/>
      <name val="MS Sans Serif"/>
      <family val="2"/>
    </font>
    <font>
      <sz val="11"/>
      <color indexed="8"/>
      <name val="Calibri"/>
      <family val="2"/>
    </font>
    <font>
      <sz val="8"/>
      <color theme="1"/>
      <name val="Calibri"/>
      <family val="2"/>
      <scheme val="minor"/>
    </font>
    <font>
      <sz val="8"/>
      <color theme="1"/>
      <name val="Arial"/>
      <family val="2"/>
    </font>
    <font>
      <sz val="10"/>
      <color indexed="8"/>
      <name val="Arial"/>
      <family val="2"/>
    </font>
    <font>
      <b/>
      <u val="singleAccounting"/>
      <sz val="8"/>
      <color indexed="8"/>
      <name val="Arial"/>
      <family val="2"/>
    </font>
    <font>
      <sz val="1"/>
      <color indexed="9"/>
      <name val="Symbol"/>
      <family val="1"/>
      <charset val="2"/>
    </font>
    <font>
      <b/>
      <u val="singleAccounting"/>
      <sz val="8"/>
      <color indexed="8"/>
      <name val="Verdana"/>
      <family val="2"/>
    </font>
    <font>
      <b/>
      <sz val="10"/>
      <color indexed="9"/>
      <name val="Arial"/>
      <family val="2"/>
    </font>
    <font>
      <b/>
      <sz val="12"/>
      <color indexed="8"/>
      <name val="Verdana"/>
      <family val="2"/>
    </font>
    <font>
      <sz val="10"/>
      <name val="Arial Narrow"/>
      <family val="2"/>
    </font>
    <font>
      <b/>
      <sz val="8"/>
      <color indexed="9"/>
      <name val="Verdana"/>
      <family val="2"/>
    </font>
    <font>
      <vertAlign val="subscript"/>
      <sz val="8"/>
      <color indexed="8"/>
      <name val="Arial"/>
      <family val="2"/>
    </font>
    <font>
      <vertAlign val="superscript"/>
      <sz val="8"/>
      <color indexed="8"/>
      <name val="Arial"/>
      <family val="2"/>
    </font>
    <font>
      <b/>
      <sz val="8"/>
      <color indexed="8"/>
      <name val="Arial"/>
      <family val="2"/>
    </font>
    <font>
      <i/>
      <sz val="8"/>
      <color indexed="8"/>
      <name val="Arial"/>
      <family val="2"/>
    </font>
    <font>
      <sz val="8"/>
      <color indexed="8"/>
      <name val="Arial"/>
      <family val="2"/>
    </font>
    <font>
      <b/>
      <sz val="13"/>
      <color indexed="8"/>
      <name val="Verdana"/>
      <family val="2"/>
    </font>
    <font>
      <b/>
      <sz val="8"/>
      <color theme="0"/>
      <name val="Calibri"/>
      <family val="2"/>
      <scheme val="minor"/>
    </font>
    <font>
      <sz val="8"/>
      <name val="Calibri"/>
      <family val="2"/>
      <scheme val="minor"/>
    </font>
    <font>
      <b/>
      <sz val="8"/>
      <name val="Calibri"/>
      <family val="2"/>
      <scheme val="minor"/>
    </font>
    <font>
      <sz val="10"/>
      <name val="Arial"/>
      <family val="2"/>
    </font>
    <font>
      <b/>
      <sz val="8"/>
      <color indexed="8"/>
      <name val="Verdana"/>
      <family val="2"/>
    </font>
    <font>
      <sz val="10"/>
      <name val="Arial"/>
      <family val="2"/>
    </font>
    <font>
      <sz val="1"/>
      <color indexed="9"/>
      <name val="Symbol"/>
      <family val="1"/>
      <charset val="2"/>
    </font>
    <font>
      <i/>
      <sz val="8"/>
      <name val="Calibri"/>
      <family val="2"/>
      <scheme val="minor"/>
    </font>
    <font>
      <sz val="8"/>
      <color indexed="12"/>
      <name val="Calibri"/>
      <family val="2"/>
      <scheme val="minor"/>
    </font>
    <font>
      <sz val="7"/>
      <color indexed="10"/>
      <name val="Arial"/>
      <family val="2"/>
    </font>
    <font>
      <sz val="10"/>
      <name val="Arial"/>
      <family val="2"/>
    </font>
    <font>
      <sz val="1"/>
      <color indexed="9"/>
      <name val="Symbol"/>
      <family val="1"/>
      <charset val="2"/>
    </font>
    <font>
      <sz val="8"/>
      <color rgb="FF0000FF"/>
      <name val="Calibri"/>
      <family val="2"/>
      <scheme val="minor"/>
    </font>
    <font>
      <sz val="10"/>
      <name val="Courier"/>
      <family val="3"/>
    </font>
    <font>
      <b/>
      <sz val="8"/>
      <color rgb="FF0000FF"/>
      <name val="Arial"/>
      <family val="2"/>
    </font>
    <font>
      <b/>
      <sz val="8"/>
      <color rgb="FF0000FF"/>
      <name val="Calibri"/>
      <family val="2"/>
      <scheme val="minor"/>
    </font>
    <font>
      <sz val="9"/>
      <color rgb="FF0000FF"/>
      <name val="Calibri"/>
      <family val="2"/>
      <scheme val="minor"/>
    </font>
    <font>
      <sz val="8"/>
      <color rgb="FF00B050"/>
      <name val="Calibri"/>
      <family val="2"/>
      <scheme val="minor"/>
    </font>
    <font>
      <sz val="8"/>
      <color theme="0"/>
      <name val="Calibri"/>
      <family val="2"/>
      <scheme val="minor"/>
    </font>
    <font>
      <u val="singleAccounting"/>
      <sz val="8"/>
      <color theme="0"/>
      <name val="Calibri"/>
      <family val="2"/>
      <scheme val="minor"/>
    </font>
    <font>
      <sz val="9"/>
      <color theme="0"/>
      <name val="Calibri"/>
      <family val="2"/>
      <scheme val="minor"/>
    </font>
    <font>
      <b/>
      <sz val="11"/>
      <color theme="0"/>
      <name val="Calibri"/>
      <family val="2"/>
      <scheme val="minor"/>
    </font>
    <font>
      <b/>
      <sz val="16"/>
      <color theme="0"/>
      <name val="Calibri"/>
      <family val="2"/>
      <scheme val="minor"/>
    </font>
    <font>
      <b/>
      <sz val="16"/>
      <name val="Calibri"/>
      <family val="2"/>
      <scheme val="minor"/>
    </font>
    <font>
      <sz val="10"/>
      <color theme="1"/>
      <name val="Arial"/>
      <family val="2"/>
    </font>
    <font>
      <b/>
      <sz val="11"/>
      <color theme="1"/>
      <name val="Calibri"/>
      <family val="2"/>
      <scheme val="minor"/>
    </font>
    <font>
      <sz val="11"/>
      <color theme="0"/>
      <name val="Calibri"/>
      <family val="2"/>
      <scheme val="minor"/>
    </font>
    <font>
      <b/>
      <sz val="14"/>
      <color theme="1"/>
      <name val="Calibri"/>
      <family val="2"/>
      <scheme val="minor"/>
    </font>
    <font>
      <b/>
      <sz val="11"/>
      <name val="Calibri"/>
      <family val="2"/>
      <scheme val="minor"/>
    </font>
    <font>
      <u/>
      <sz val="11"/>
      <color theme="10"/>
      <name val="Calibri"/>
      <family val="2"/>
      <scheme val="minor"/>
    </font>
    <font>
      <sz val="11"/>
      <name val="Calibri"/>
      <family val="2"/>
    </font>
    <font>
      <b/>
      <sz val="8"/>
      <name val="Arial"/>
      <family val="2"/>
    </font>
    <font>
      <sz val="8"/>
      <color rgb="FF1F497D"/>
      <name val="Arial"/>
      <family val="2"/>
    </font>
    <font>
      <b/>
      <sz val="12"/>
      <color theme="0"/>
      <name val="Calibri"/>
      <family val="2"/>
      <scheme val="minor"/>
    </font>
    <font>
      <b/>
      <sz val="12"/>
      <name val="Calibri"/>
      <family val="2"/>
      <scheme val="minor"/>
    </font>
    <font>
      <sz val="12"/>
      <name val="Calibri"/>
      <family val="2"/>
      <scheme val="minor"/>
    </font>
    <font>
      <sz val="12"/>
      <color theme="1"/>
      <name val="Calibri"/>
      <family val="2"/>
      <scheme val="minor"/>
    </font>
    <font>
      <sz val="14"/>
      <name val="Calibri"/>
      <family val="2"/>
      <scheme val="minor"/>
    </font>
    <font>
      <sz val="14"/>
      <color theme="1"/>
      <name val="Calibri"/>
      <family val="2"/>
      <scheme val="minor"/>
    </font>
    <font>
      <b/>
      <sz val="14"/>
      <color rgb="FFFF0000"/>
      <name val="Calibri"/>
      <family val="2"/>
      <scheme val="minor"/>
    </font>
    <font>
      <b/>
      <sz val="12"/>
      <color theme="0"/>
      <name val="Arial"/>
      <family val="2"/>
    </font>
    <font>
      <sz val="12"/>
      <color theme="1"/>
      <name val="Arial"/>
      <family val="2"/>
    </font>
    <font>
      <sz val="12"/>
      <name val="Arial"/>
      <family val="2"/>
    </font>
    <font>
      <sz val="12"/>
      <color rgb="FF0000FF"/>
      <name val="Arial"/>
      <family val="2"/>
    </font>
    <font>
      <b/>
      <sz val="12"/>
      <color indexed="9"/>
      <name val="Arial"/>
      <family val="2"/>
    </font>
    <font>
      <b/>
      <sz val="12"/>
      <name val="Arial"/>
      <family val="2"/>
    </font>
    <font>
      <b/>
      <sz val="12"/>
      <color rgb="FF002060"/>
      <name val="Arial"/>
      <family val="2"/>
    </font>
    <font>
      <b/>
      <sz val="12"/>
      <color theme="1"/>
      <name val="Arial"/>
      <family val="2"/>
    </font>
    <font>
      <b/>
      <sz val="12"/>
      <color rgb="FFFF0000"/>
      <name val="Arial"/>
      <family val="2"/>
    </font>
    <font>
      <b/>
      <sz val="16"/>
      <name val="Arial"/>
      <family val="2"/>
    </font>
    <font>
      <b/>
      <sz val="16"/>
      <color theme="0"/>
      <name val="Arial"/>
      <family val="2"/>
    </font>
    <font>
      <b/>
      <sz val="11"/>
      <color theme="0"/>
      <name val="Arial"/>
      <family val="2"/>
    </font>
    <font>
      <sz val="10"/>
      <color rgb="FF0000FF"/>
      <name val="Arial"/>
      <family val="2"/>
    </font>
    <font>
      <b/>
      <sz val="10"/>
      <color theme="0"/>
      <name val="Arial"/>
      <family val="2"/>
    </font>
    <font>
      <sz val="10"/>
      <color rgb="FF1F497D"/>
      <name val="Arial"/>
      <family val="2"/>
    </font>
    <font>
      <b/>
      <sz val="10"/>
      <name val="Arial"/>
      <family val="2"/>
    </font>
    <font>
      <b/>
      <sz val="10"/>
      <color rgb="FF1F497D"/>
      <name val="Arial"/>
      <family val="2"/>
    </font>
    <font>
      <b/>
      <sz val="10"/>
      <color theme="1"/>
      <name val="Arial"/>
      <family val="2"/>
    </font>
    <font>
      <sz val="10"/>
      <color rgb="FF00B050"/>
      <name val="Arial"/>
      <family val="2"/>
    </font>
    <font>
      <sz val="14"/>
      <name val="Arial"/>
      <family val="2"/>
    </font>
    <font>
      <b/>
      <sz val="14"/>
      <name val="Arial"/>
      <family val="2"/>
    </font>
    <font>
      <sz val="14"/>
      <color rgb="FF002060"/>
      <name val="Arial"/>
      <family val="2"/>
    </font>
    <font>
      <b/>
      <sz val="14"/>
      <color theme="0"/>
      <name val="Arial"/>
      <family val="2"/>
    </font>
    <font>
      <sz val="14"/>
      <color theme="1"/>
      <name val="Arial"/>
      <family val="2"/>
    </font>
    <font>
      <sz val="14"/>
      <color rgb="FF0000FF"/>
      <name val="Arial"/>
      <family val="2"/>
    </font>
    <font>
      <sz val="14"/>
      <color rgb="FF009242"/>
      <name val="Arial"/>
      <family val="2"/>
    </font>
    <font>
      <sz val="14"/>
      <color theme="0"/>
      <name val="Arial"/>
      <family val="2"/>
    </font>
    <font>
      <b/>
      <sz val="12"/>
      <color rgb="FF00B050"/>
      <name val="Arial"/>
      <family val="2"/>
    </font>
    <font>
      <sz val="10"/>
      <color rgb="FF0000FF"/>
      <name val="Calibri"/>
      <family val="2"/>
      <scheme val="minor"/>
    </font>
    <font>
      <sz val="14"/>
      <color theme="3"/>
      <name val="Arial"/>
      <family val="2"/>
    </font>
    <font>
      <sz val="14"/>
      <color rgb="FF00B050"/>
      <name val="Arial"/>
      <family val="2"/>
    </font>
    <font>
      <b/>
      <sz val="14"/>
      <color theme="1"/>
      <name val="Arial"/>
      <family val="2"/>
    </font>
    <font>
      <b/>
      <sz val="14"/>
      <color rgb="FFFF0000"/>
      <name val="Arial"/>
      <family val="2"/>
    </font>
    <font>
      <b/>
      <sz val="14"/>
      <color indexed="10"/>
      <name val="Arial"/>
      <family val="2"/>
    </font>
    <font>
      <sz val="11"/>
      <color theme="1"/>
      <name val="Arial"/>
      <family val="2"/>
    </font>
    <font>
      <sz val="10"/>
      <color theme="0"/>
      <name val="Calibri"/>
      <family val="2"/>
      <scheme val="minor"/>
    </font>
    <font>
      <sz val="12"/>
      <color rgb="FF00B050"/>
      <name val="Arial"/>
      <family val="2"/>
    </font>
    <font>
      <sz val="12"/>
      <color theme="0"/>
      <name val="Arial"/>
      <family val="2"/>
    </font>
    <font>
      <b/>
      <sz val="12"/>
      <color rgb="FF009242"/>
      <name val="Arial"/>
      <family val="2"/>
    </font>
    <font>
      <b/>
      <sz val="11"/>
      <color theme="1"/>
      <name val="Arial"/>
      <family val="2"/>
    </font>
    <font>
      <sz val="12"/>
      <color rgb="FFFF0000"/>
      <name val="Arial"/>
      <family val="2"/>
    </font>
  </fonts>
  <fills count="17">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60"/>
        <bgColor indexed="64"/>
      </patternFill>
    </fill>
    <fill>
      <patternFill patternType="solid">
        <fgColor indexed="62"/>
        <bgColor indexed="64"/>
      </patternFill>
    </fill>
    <fill>
      <patternFill patternType="solid">
        <fgColor indexed="63"/>
        <bgColor indexed="64"/>
      </patternFill>
    </fill>
    <fill>
      <patternFill patternType="solid">
        <fgColor indexed="56"/>
        <bgColor indexed="64"/>
      </patternFill>
    </fill>
    <fill>
      <patternFill patternType="solid">
        <fgColor rgb="FFFFFF00"/>
        <bgColor indexed="64"/>
      </patternFill>
    </fill>
    <fill>
      <patternFill patternType="solid">
        <fgColor theme="1"/>
        <bgColor indexed="64"/>
      </patternFill>
    </fill>
    <fill>
      <patternFill patternType="solid">
        <fgColor theme="1" tint="4.9989318521683403E-2"/>
        <bgColor indexed="64"/>
      </patternFill>
    </fill>
    <fill>
      <patternFill patternType="solid">
        <fgColor rgb="FFFFC901"/>
        <bgColor indexed="64"/>
      </patternFill>
    </fill>
    <fill>
      <patternFill patternType="solid">
        <fgColor rgb="FF0000FF"/>
        <bgColor indexed="64"/>
      </patternFill>
    </fill>
    <fill>
      <patternFill patternType="solid">
        <fgColor rgb="FFFFFF99"/>
        <bgColor indexed="64"/>
      </patternFill>
    </fill>
    <fill>
      <patternFill patternType="solid">
        <fgColor rgb="FFB7E9C3"/>
        <bgColor indexed="64"/>
      </patternFill>
    </fill>
    <fill>
      <patternFill patternType="solid">
        <fgColor rgb="FF002060"/>
        <bgColor indexed="64"/>
      </patternFill>
    </fill>
    <fill>
      <patternFill patternType="solid">
        <fgColor rgb="FFFFC000"/>
        <bgColor indexed="64"/>
      </patternFill>
    </fill>
  </fills>
  <borders count="20">
    <border>
      <left/>
      <right/>
      <top/>
      <bottom/>
      <diagonal/>
    </border>
    <border>
      <left/>
      <right/>
      <top style="thin">
        <color indexed="64"/>
      </top>
      <bottom/>
      <diagonal/>
    </border>
    <border>
      <left/>
      <right/>
      <top/>
      <bottom style="hair">
        <color indexed="64"/>
      </bottom>
      <diagonal/>
    </border>
    <border>
      <left/>
      <right/>
      <top/>
      <bottom style="thin">
        <color indexed="64"/>
      </bottom>
      <diagonal/>
    </border>
    <border>
      <left/>
      <right/>
      <top style="hair">
        <color indexed="64"/>
      </top>
      <bottom style="hair">
        <color indexed="64"/>
      </bottom>
      <diagonal/>
    </border>
    <border>
      <left/>
      <right/>
      <top style="hair">
        <color indexed="64"/>
      </top>
      <bottom style="thin">
        <color indexed="64"/>
      </bottom>
      <diagonal/>
    </border>
    <border>
      <left/>
      <right/>
      <top style="thin">
        <color indexed="64"/>
      </top>
      <bottom style="double">
        <color indexed="64"/>
      </bottom>
      <diagonal/>
    </border>
    <border>
      <left/>
      <right/>
      <top style="hair">
        <color indexed="64"/>
      </top>
      <bottom/>
      <diagonal/>
    </border>
    <border>
      <left/>
      <right/>
      <top style="thin">
        <color indexed="64"/>
      </top>
      <bottom style="hair">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s>
  <cellStyleXfs count="68">
    <xf numFmtId="0" fontId="0" fillId="0" borderId="0"/>
    <xf numFmtId="9" fontId="2" fillId="0" borderId="0" applyFont="0" applyFill="0" applyBorder="0" applyAlignment="0" applyProtection="0"/>
    <xf numFmtId="0" fontId="8" fillId="0" borderId="0" applyNumberFormat="0" applyFill="0" applyBorder="0" applyAlignment="0" applyProtection="0"/>
    <xf numFmtId="165" fontId="8" fillId="0" borderId="0" applyFont="0" applyFill="0" applyBorder="0" applyAlignment="0" applyProtection="0"/>
    <xf numFmtId="9" fontId="8" fillId="0" borderId="0" applyFont="0" applyFill="0" applyBorder="0" applyAlignment="0" applyProtection="0"/>
    <xf numFmtId="0" fontId="9" fillId="0" borderId="0" applyNumberFormat="0" applyFill="0" applyBorder="0" applyAlignment="0" applyProtection="0"/>
    <xf numFmtId="0" fontId="10" fillId="0" borderId="0"/>
    <xf numFmtId="0" fontId="11" fillId="0" borderId="0"/>
    <xf numFmtId="0" fontId="11" fillId="0" borderId="0"/>
    <xf numFmtId="0" fontId="11" fillId="0" borderId="0"/>
    <xf numFmtId="0" fontId="13" fillId="0" borderId="0" applyAlignment="0"/>
    <xf numFmtId="0" fontId="14" fillId="4" borderId="0" applyAlignment="0"/>
    <xf numFmtId="0" fontId="15" fillId="0" borderId="0" applyAlignment="0"/>
    <xf numFmtId="0" fontId="16" fillId="5" borderId="0" applyAlignment="0"/>
    <xf numFmtId="0" fontId="17" fillId="6" borderId="0" applyAlignment="0"/>
    <xf numFmtId="0" fontId="18" fillId="0" borderId="0" applyAlignment="0"/>
    <xf numFmtId="0" fontId="11" fillId="0" borderId="0"/>
    <xf numFmtId="0" fontId="11" fillId="0" borderId="0"/>
    <xf numFmtId="0" fontId="11" fillId="0" borderId="0"/>
    <xf numFmtId="0" fontId="11" fillId="0" borderId="0"/>
    <xf numFmtId="0" fontId="11" fillId="0" borderId="0"/>
    <xf numFmtId="0" fontId="8" fillId="0" borderId="0"/>
    <xf numFmtId="0" fontId="11" fillId="0" borderId="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20" fillId="7" borderId="0" applyAlignment="0"/>
    <xf numFmtId="0" fontId="21" fillId="0" borderId="0" applyAlignment="0"/>
    <xf numFmtId="0" fontId="22" fillId="0" borderId="0" applyAlignment="0"/>
    <xf numFmtId="0" fontId="23" fillId="0" borderId="0" applyAlignment="0"/>
    <xf numFmtId="0" fontId="24" fillId="0" borderId="0" applyAlignment="0"/>
    <xf numFmtId="0" fontId="25" fillId="0" borderId="0" applyAlignment="0"/>
    <xf numFmtId="0" fontId="26" fillId="0" borderId="0" applyAlignment="0"/>
    <xf numFmtId="165" fontId="10" fillId="0" borderId="0" applyFont="0" applyFill="0" applyBorder="0" applyAlignment="0" applyProtection="0"/>
    <xf numFmtId="9" fontId="10"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30" fillId="0" borderId="0" applyNumberFormat="0" applyFill="0" applyBorder="0" applyAlignment="0" applyProtection="0"/>
    <xf numFmtId="0" fontId="31" fillId="0" borderId="0" applyAlignment="0"/>
    <xf numFmtId="0" fontId="31" fillId="0" borderId="0" applyAlignment="0"/>
    <xf numFmtId="0" fontId="31" fillId="0" borderId="0" applyAlignment="0"/>
    <xf numFmtId="0" fontId="31" fillId="0" borderId="0" applyAlignment="0"/>
    <xf numFmtId="0" fontId="32" fillId="0" borderId="0"/>
    <xf numFmtId="0" fontId="33" fillId="0" borderId="0" applyAlignment="0"/>
    <xf numFmtId="0" fontId="8" fillId="0" borderId="0"/>
    <xf numFmtId="0" fontId="36" fillId="0" borderId="0"/>
    <xf numFmtId="0" fontId="37" fillId="0" borderId="0"/>
    <xf numFmtId="0" fontId="38" fillId="0" borderId="0" applyAlignment="0"/>
    <xf numFmtId="43" fontId="2" fillId="0" borderId="0" applyFont="0" applyFill="0" applyBorder="0" applyAlignment="0" applyProtection="0"/>
    <xf numFmtId="0" fontId="40" fillId="0" borderId="0">
      <alignment vertical="center"/>
    </xf>
    <xf numFmtId="0" fontId="56" fillId="0" borderId="0" applyNumberFormat="0" applyFill="0" applyBorder="0" applyAlignment="0" applyProtection="0"/>
    <xf numFmtId="0" fontId="57" fillId="0" borderId="0"/>
  </cellStyleXfs>
  <cellXfs count="400">
    <xf numFmtId="0" fontId="0" fillId="0" borderId="0" xfId="0"/>
    <xf numFmtId="0" fontId="3" fillId="0" borderId="0" xfId="0" applyFont="1" applyFill="1"/>
    <xf numFmtId="0" fontId="3" fillId="0" borderId="0" xfId="0" applyFont="1"/>
    <xf numFmtId="165" fontId="3" fillId="0" borderId="0" xfId="0" applyNumberFormat="1" applyFont="1" applyBorder="1"/>
    <xf numFmtId="0" fontId="12" fillId="0" borderId="0" xfId="0" applyFont="1"/>
    <xf numFmtId="0" fontId="12" fillId="0" borderId="0" xfId="0" applyFont="1" applyFill="1"/>
    <xf numFmtId="0" fontId="11" fillId="0" borderId="0" xfId="0" applyFont="1"/>
    <xf numFmtId="0" fontId="4" fillId="0" borderId="0" xfId="0" applyFont="1" applyFill="1" applyBorder="1" applyAlignment="1">
      <alignment vertical="center"/>
    </xf>
    <xf numFmtId="167" fontId="12" fillId="0" borderId="0" xfId="0" applyNumberFormat="1" applyFont="1"/>
    <xf numFmtId="0" fontId="1" fillId="0" borderId="0" xfId="65" applyFont="1" applyFill="1" applyBorder="1">
      <alignment vertical="center"/>
    </xf>
    <xf numFmtId="166" fontId="1" fillId="0" borderId="0" xfId="65" applyNumberFormat="1" applyFont="1" applyFill="1" applyBorder="1">
      <alignment vertical="center"/>
    </xf>
    <xf numFmtId="166" fontId="41" fillId="3" borderId="0" xfId="65" applyNumberFormat="1" applyFont="1" applyFill="1" applyBorder="1" applyAlignment="1">
      <alignment horizontal="right" vertical="center"/>
    </xf>
    <xf numFmtId="166" fontId="28" fillId="3" borderId="4" xfId="3" applyNumberFormat="1" applyFont="1" applyFill="1" applyBorder="1" applyAlignment="1">
      <alignment horizontal="right" vertical="center"/>
    </xf>
    <xf numFmtId="173" fontId="28" fillId="2" borderId="4" xfId="65" applyNumberFormat="1" applyFont="1" applyFill="1" applyBorder="1" applyAlignment="1">
      <alignment horizontal="right" vertical="center"/>
    </xf>
    <xf numFmtId="168" fontId="28" fillId="3" borderId="7" xfId="3" applyNumberFormat="1" applyFont="1" applyFill="1" applyBorder="1" applyAlignment="1">
      <alignment horizontal="right" vertical="center"/>
    </xf>
    <xf numFmtId="166" fontId="28" fillId="3" borderId="7" xfId="3" applyNumberFormat="1" applyFont="1" applyFill="1" applyBorder="1" applyAlignment="1">
      <alignment horizontal="right" vertical="center"/>
    </xf>
    <xf numFmtId="173" fontId="28" fillId="2" borderId="7" xfId="65" applyNumberFormat="1" applyFont="1" applyFill="1" applyBorder="1" applyAlignment="1">
      <alignment horizontal="right" vertical="center"/>
    </xf>
    <xf numFmtId="0" fontId="43" fillId="3" borderId="4" xfId="65" applyFont="1" applyFill="1" applyBorder="1" applyAlignment="1">
      <alignment vertical="center"/>
    </xf>
    <xf numFmtId="166" fontId="39" fillId="8" borderId="4" xfId="65" applyNumberFormat="1" applyFont="1" applyFill="1" applyBorder="1" applyAlignment="1">
      <alignment horizontal="right" vertical="center"/>
    </xf>
    <xf numFmtId="166" fontId="39" fillId="8" borderId="7" xfId="65" applyNumberFormat="1" applyFont="1" applyFill="1" applyBorder="1" applyAlignment="1">
      <alignment horizontal="right" vertical="center"/>
    </xf>
    <xf numFmtId="166" fontId="44" fillId="3" borderId="4" xfId="65" applyNumberFormat="1" applyFont="1" applyFill="1" applyBorder="1" applyAlignment="1">
      <alignment horizontal="right" vertical="center"/>
    </xf>
    <xf numFmtId="168" fontId="35" fillId="8" borderId="7" xfId="65" applyNumberFormat="1" applyFont="1" applyFill="1" applyBorder="1" applyAlignment="1">
      <alignment horizontal="right" vertical="center"/>
    </xf>
    <xf numFmtId="166" fontId="44" fillId="3" borderId="7" xfId="65" applyNumberFormat="1" applyFont="1" applyFill="1" applyBorder="1" applyAlignment="1">
      <alignment horizontal="right" vertical="center"/>
    </xf>
    <xf numFmtId="0" fontId="11" fillId="3" borderId="0" xfId="0" applyFont="1" applyFill="1"/>
    <xf numFmtId="0" fontId="42" fillId="3" borderId="0" xfId="0" applyFont="1" applyFill="1" applyAlignment="1">
      <alignment horizontal="center"/>
    </xf>
    <xf numFmtId="0" fontId="42" fillId="3" borderId="0" xfId="65" applyFont="1" applyFill="1" applyBorder="1" applyAlignment="1">
      <alignment vertical="center"/>
    </xf>
    <xf numFmtId="0" fontId="39" fillId="8" borderId="0" xfId="0" applyFont="1" applyFill="1"/>
    <xf numFmtId="166" fontId="39" fillId="8" borderId="0" xfId="3" applyNumberFormat="1" applyFont="1" applyFill="1"/>
    <xf numFmtId="0" fontId="29" fillId="0" borderId="6" xfId="0" applyFont="1" applyBorder="1"/>
    <xf numFmtId="166" fontId="29" fillId="3" borderId="6" xfId="3" applyNumberFormat="1" applyFont="1" applyFill="1" applyBorder="1" applyAlignment="1">
      <alignment horizontal="right"/>
    </xf>
    <xf numFmtId="174" fontId="29" fillId="0" borderId="3" xfId="0" applyNumberFormat="1" applyFont="1" applyFill="1" applyBorder="1" applyAlignment="1">
      <alignment horizontal="right"/>
    </xf>
    <xf numFmtId="0" fontId="29" fillId="0" borderId="3" xfId="0" applyFont="1" applyFill="1" applyBorder="1" applyAlignment="1">
      <alignment horizontal="left"/>
    </xf>
    <xf numFmtId="0" fontId="45" fillId="10" borderId="0" xfId="65" applyFont="1" applyFill="1" applyBorder="1" applyAlignment="1">
      <alignment horizontal="left"/>
    </xf>
    <xf numFmtId="0" fontId="45" fillId="10" borderId="0" xfId="65" applyFont="1" applyFill="1" applyBorder="1" applyAlignment="1">
      <alignment horizontal="center"/>
    </xf>
    <xf numFmtId="0" fontId="45" fillId="10" borderId="2" xfId="65" applyFont="1" applyFill="1" applyBorder="1" applyAlignment="1">
      <alignment horizontal="right"/>
    </xf>
    <xf numFmtId="174" fontId="27" fillId="10" borderId="3" xfId="0" applyNumberFormat="1" applyFont="1" applyFill="1" applyBorder="1" applyAlignment="1">
      <alignment horizontal="center"/>
    </xf>
    <xf numFmtId="174" fontId="45" fillId="10" borderId="2" xfId="65" applyNumberFormat="1" applyFont="1" applyFill="1" applyBorder="1" applyAlignment="1">
      <alignment horizontal="right"/>
    </xf>
    <xf numFmtId="0" fontId="47" fillId="10" borderId="0" xfId="65" applyFont="1" applyFill="1" applyBorder="1" applyAlignment="1">
      <alignment horizontal="left"/>
    </xf>
    <xf numFmtId="0" fontId="28" fillId="0" borderId="6" xfId="65" applyFont="1" applyFill="1" applyBorder="1" applyAlignment="1">
      <alignment vertical="center"/>
    </xf>
    <xf numFmtId="166" fontId="34" fillId="0" borderId="6" xfId="3" applyNumberFormat="1" applyFont="1" applyFill="1" applyBorder="1" applyAlignment="1">
      <alignment vertical="center"/>
    </xf>
    <xf numFmtId="172" fontId="34" fillId="0" borderId="6" xfId="3" applyNumberFormat="1" applyFont="1" applyFill="1" applyBorder="1" applyAlignment="1">
      <alignment vertical="center"/>
    </xf>
    <xf numFmtId="166" fontId="34" fillId="0" borderId="6" xfId="3" applyNumberFormat="1" applyFont="1" applyFill="1" applyBorder="1" applyAlignment="1">
      <alignment horizontal="left" vertical="center" indent="2"/>
    </xf>
    <xf numFmtId="173" fontId="28" fillId="0" borderId="6" xfId="65" applyNumberFormat="1" applyFont="1" applyFill="1" applyBorder="1" applyAlignment="1">
      <alignment horizontal="right" vertical="center"/>
    </xf>
    <xf numFmtId="0" fontId="28" fillId="0" borderId="12" xfId="65" applyFont="1" applyFill="1" applyBorder="1" applyAlignment="1">
      <alignment vertical="center"/>
    </xf>
    <xf numFmtId="166" fontId="34" fillId="0" borderId="12" xfId="3" applyNumberFormat="1" applyFont="1" applyFill="1" applyBorder="1" applyAlignment="1">
      <alignment vertical="center"/>
    </xf>
    <xf numFmtId="172" fontId="34" fillId="0" borderId="12" xfId="3" applyNumberFormat="1" applyFont="1" applyFill="1" applyBorder="1" applyAlignment="1">
      <alignment vertical="center"/>
    </xf>
    <xf numFmtId="166" fontId="34" fillId="0" borderId="12" xfId="3" applyNumberFormat="1" applyFont="1" applyFill="1" applyBorder="1" applyAlignment="1">
      <alignment horizontal="left" vertical="center" indent="2"/>
    </xf>
    <xf numFmtId="173" fontId="28" fillId="0" borderId="12" xfId="65" applyNumberFormat="1" applyFont="1" applyFill="1" applyBorder="1" applyAlignment="1">
      <alignment horizontal="right" vertical="center"/>
    </xf>
    <xf numFmtId="0" fontId="7" fillId="2" borderId="0" xfId="2" applyFont="1" applyFill="1"/>
    <xf numFmtId="0" fontId="3" fillId="0" borderId="0" xfId="0" applyFont="1" applyFill="1" applyAlignment="1">
      <alignment horizontal="right"/>
    </xf>
    <xf numFmtId="169" fontId="5" fillId="2" borderId="4" xfId="52" applyNumberFormat="1" applyFont="1" applyFill="1" applyBorder="1"/>
    <xf numFmtId="165" fontId="50" fillId="11" borderId="0" xfId="0" applyNumberFormat="1" applyFont="1" applyFill="1" applyBorder="1" applyAlignment="1">
      <alignment vertical="center"/>
    </xf>
    <xf numFmtId="165" fontId="48" fillId="9" borderId="0" xfId="0" applyNumberFormat="1" applyFont="1" applyFill="1" applyBorder="1" applyAlignment="1">
      <alignment vertical="center"/>
    </xf>
    <xf numFmtId="165" fontId="50" fillId="0" borderId="0" xfId="0" applyNumberFormat="1" applyFont="1" applyFill="1" applyBorder="1" applyAlignment="1">
      <alignment vertical="center"/>
    </xf>
    <xf numFmtId="165" fontId="48" fillId="0" borderId="0" xfId="0" applyNumberFormat="1" applyFont="1" applyFill="1" applyBorder="1" applyAlignment="1">
      <alignment vertical="center"/>
    </xf>
    <xf numFmtId="165" fontId="49" fillId="0" borderId="0" xfId="0" applyNumberFormat="1" applyFont="1" applyFill="1" applyBorder="1" applyAlignment="1">
      <alignment vertical="center"/>
    </xf>
    <xf numFmtId="165" fontId="3" fillId="0" borderId="0" xfId="0" applyNumberFormat="1" applyFont="1" applyFill="1" applyBorder="1"/>
    <xf numFmtId="165" fontId="48" fillId="0" borderId="0" xfId="0" applyNumberFormat="1" applyFont="1" applyFill="1" applyBorder="1" applyAlignment="1">
      <alignment horizontal="center" vertical="center"/>
    </xf>
    <xf numFmtId="165" fontId="49" fillId="0" borderId="0" xfId="0" applyNumberFormat="1" applyFont="1" applyFill="1" applyBorder="1" applyAlignment="1">
      <alignment horizontal="center" vertical="center"/>
    </xf>
    <xf numFmtId="0" fontId="7" fillId="0" borderId="0" xfId="50" applyFont="1"/>
    <xf numFmtId="167" fontId="7" fillId="0" borderId="0" xfId="49" applyNumberFormat="1" applyFont="1" applyFill="1"/>
    <xf numFmtId="0" fontId="51" fillId="0" borderId="0" xfId="0" applyFont="1"/>
    <xf numFmtId="43" fontId="0" fillId="0" borderId="0" xfId="64" applyFont="1"/>
    <xf numFmtId="0" fontId="52" fillId="0" borderId="0" xfId="0" applyFont="1"/>
    <xf numFmtId="43" fontId="52" fillId="0" borderId="0" xfId="64" applyFont="1"/>
    <xf numFmtId="39" fontId="0" fillId="0" borderId="0" xfId="64" applyNumberFormat="1" applyFont="1"/>
    <xf numFmtId="9" fontId="0" fillId="0" borderId="0" xfId="1" applyFont="1"/>
    <xf numFmtId="165" fontId="0" fillId="0" borderId="0" xfId="1" applyNumberFormat="1" applyFont="1"/>
    <xf numFmtId="39" fontId="52" fillId="0" borderId="0" xfId="64" applyNumberFormat="1" applyFont="1" applyBorder="1"/>
    <xf numFmtId="0" fontId="52" fillId="0" borderId="1" xfId="0" applyFont="1" applyBorder="1"/>
    <xf numFmtId="165" fontId="52" fillId="0" borderId="1" xfId="1" applyNumberFormat="1" applyFont="1" applyBorder="1"/>
    <xf numFmtId="165" fontId="52" fillId="0" borderId="0" xfId="1" applyNumberFormat="1" applyFont="1"/>
    <xf numFmtId="0" fontId="0" fillId="0" borderId="0" xfId="0"/>
    <xf numFmtId="39" fontId="0" fillId="0" borderId="0" xfId="64" applyNumberFormat="1" applyFont="1" applyBorder="1"/>
    <xf numFmtId="165" fontId="52" fillId="0" borderId="0" xfId="1" applyNumberFormat="1" applyFont="1" applyBorder="1"/>
    <xf numFmtId="43" fontId="0" fillId="0" borderId="0" xfId="64" applyFont="1" applyFill="1"/>
    <xf numFmtId="39" fontId="0" fillId="0" borderId="0" xfId="64" applyNumberFormat="1" applyFont="1" applyFill="1"/>
    <xf numFmtId="39" fontId="0" fillId="0" borderId="0" xfId="64" applyNumberFormat="1" applyFont="1" applyFill="1" applyBorder="1"/>
    <xf numFmtId="39" fontId="52" fillId="0" borderId="0" xfId="64" applyNumberFormat="1" applyFont="1" applyFill="1" applyBorder="1"/>
    <xf numFmtId="9" fontId="0" fillId="0" borderId="0" xfId="1" applyFont="1" applyFill="1"/>
    <xf numFmtId="165" fontId="52" fillId="0" borderId="0" xfId="1" applyNumberFormat="1" applyFont="1" applyFill="1"/>
    <xf numFmtId="165" fontId="0" fillId="0" borderId="0" xfId="1" applyNumberFormat="1" applyFont="1" applyFill="1"/>
    <xf numFmtId="165" fontId="52" fillId="0" borderId="0" xfId="1" applyNumberFormat="1" applyFont="1" applyFill="1" applyBorder="1"/>
    <xf numFmtId="43" fontId="52" fillId="0" borderId="0" xfId="64" applyFont="1" applyFill="1"/>
    <xf numFmtId="0" fontId="0" fillId="0" borderId="0" xfId="0" applyFill="1"/>
    <xf numFmtId="0" fontId="52" fillId="0" borderId="0" xfId="0" applyFont="1" applyFill="1"/>
    <xf numFmtId="0" fontId="0" fillId="0" borderId="0" xfId="0" applyBorder="1"/>
    <xf numFmtId="0" fontId="0" fillId="0" borderId="10" xfId="0" applyBorder="1"/>
    <xf numFmtId="0" fontId="0" fillId="0" borderId="11" xfId="0" applyBorder="1"/>
    <xf numFmtId="0" fontId="0" fillId="0" borderId="13" xfId="0" applyBorder="1"/>
    <xf numFmtId="171" fontId="48" fillId="0" borderId="0" xfId="0" applyNumberFormat="1" applyFont="1" applyFill="1"/>
    <xf numFmtId="170" fontId="48" fillId="0" borderId="0" xfId="0" applyNumberFormat="1" applyFont="1" applyFill="1"/>
    <xf numFmtId="0" fontId="0" fillId="0" borderId="0" xfId="0" applyFill="1"/>
    <xf numFmtId="3" fontId="0" fillId="0" borderId="0" xfId="0" applyNumberFormat="1"/>
    <xf numFmtId="0" fontId="0" fillId="0" borderId="9" xfId="0" applyBorder="1"/>
    <xf numFmtId="3" fontId="0" fillId="0" borderId="9" xfId="0" applyNumberFormat="1" applyBorder="1"/>
    <xf numFmtId="0" fontId="53" fillId="0" borderId="0" xfId="0" applyFont="1" applyFill="1"/>
    <xf numFmtId="170" fontId="48" fillId="0" borderId="0" xfId="64" applyNumberFormat="1" applyFont="1" applyFill="1" applyAlignment="1">
      <alignment horizontal="center"/>
    </xf>
    <xf numFmtId="0" fontId="55" fillId="11" borderId="0" xfId="0" applyFont="1" applyFill="1"/>
    <xf numFmtId="170" fontId="55" fillId="11" borderId="0" xfId="64" applyNumberFormat="1" applyFont="1" applyFill="1" applyAlignment="1">
      <alignment horizontal="center"/>
    </xf>
    <xf numFmtId="4" fontId="39" fillId="8" borderId="4" xfId="65" applyNumberFormat="1" applyFont="1" applyFill="1" applyBorder="1" applyAlignment="1">
      <alignment horizontal="right" vertical="center"/>
    </xf>
    <xf numFmtId="0" fontId="56" fillId="0" borderId="0" xfId="66" applyAlignment="1">
      <alignment wrapText="1"/>
    </xf>
    <xf numFmtId="0" fontId="11" fillId="0" borderId="0" xfId="0" applyFont="1" applyAlignment="1">
      <alignment wrapText="1"/>
    </xf>
    <xf numFmtId="0" fontId="0" fillId="0" borderId="0" xfId="0"/>
    <xf numFmtId="167" fontId="7" fillId="2" borderId="0" xfId="2" applyNumberFormat="1" applyFont="1" applyFill="1"/>
    <xf numFmtId="0" fontId="0" fillId="0" borderId="0" xfId="0"/>
    <xf numFmtId="0" fontId="63" fillId="0" borderId="0" xfId="0" applyFont="1" applyFill="1"/>
    <xf numFmtId="169" fontId="62" fillId="0" borderId="2" xfId="52" applyNumberFormat="1" applyFont="1" applyFill="1" applyBorder="1"/>
    <xf numFmtId="43" fontId="62" fillId="0" borderId="2" xfId="64" applyFont="1" applyFill="1" applyBorder="1"/>
    <xf numFmtId="169" fontId="62" fillId="0" borderId="4" xfId="52" applyNumberFormat="1" applyFont="1" applyFill="1" applyBorder="1"/>
    <xf numFmtId="169" fontId="62" fillId="0" borderId="7" xfId="52" applyNumberFormat="1" applyFont="1" applyFill="1" applyBorder="1"/>
    <xf numFmtId="43" fontId="62" fillId="0" borderId="0" xfId="64" applyFont="1" applyFill="1" applyBorder="1"/>
    <xf numFmtId="43" fontId="62" fillId="0" borderId="7" xfId="64" applyFont="1" applyFill="1" applyBorder="1"/>
    <xf numFmtId="0" fontId="63" fillId="0" borderId="0" xfId="0" applyFont="1" applyFill="1" applyAlignment="1">
      <alignment horizontal="right"/>
    </xf>
    <xf numFmtId="0" fontId="62" fillId="0" borderId="0" xfId="2" applyFont="1" applyFill="1"/>
    <xf numFmtId="167" fontId="62" fillId="0" borderId="4" xfId="4" applyNumberFormat="1" applyFont="1" applyFill="1" applyBorder="1"/>
    <xf numFmtId="169" fontId="62" fillId="0" borderId="0" xfId="52" applyNumberFormat="1" applyFont="1" applyFill="1" applyBorder="1"/>
    <xf numFmtId="167" fontId="62" fillId="0" borderId="2" xfId="4" applyNumberFormat="1" applyFont="1" applyFill="1" applyBorder="1"/>
    <xf numFmtId="167" fontId="62" fillId="0" borderId="0" xfId="4" applyNumberFormat="1" applyFont="1" applyFill="1" applyBorder="1"/>
    <xf numFmtId="169" fontId="61" fillId="0" borderId="4" xfId="52" applyNumberFormat="1" applyFont="1" applyFill="1" applyBorder="1"/>
    <xf numFmtId="169" fontId="61" fillId="0" borderId="0" xfId="52" applyNumberFormat="1" applyFont="1" applyFill="1" applyBorder="1"/>
    <xf numFmtId="173" fontId="62" fillId="0" borderId="2" xfId="52" applyNumberFormat="1" applyFont="1" applyFill="1" applyBorder="1"/>
    <xf numFmtId="0" fontId="68" fillId="0" borderId="0" xfId="0" applyFont="1" applyFill="1" applyBorder="1"/>
    <xf numFmtId="165" fontId="65" fillId="0" borderId="0" xfId="0" applyNumberFormat="1" applyFont="1"/>
    <xf numFmtId="165" fontId="73" fillId="0" borderId="0" xfId="0" applyNumberFormat="1" applyFont="1" applyFill="1" applyBorder="1" applyAlignment="1">
      <alignment horizontal="right"/>
    </xf>
    <xf numFmtId="165" fontId="72" fillId="0" borderId="0" xfId="0" applyNumberFormat="1" applyFont="1" applyFill="1" applyBorder="1" applyAlignment="1">
      <alignment horizontal="right"/>
    </xf>
    <xf numFmtId="0" fontId="72" fillId="0" borderId="0" xfId="0" applyFont="1" applyFill="1" applyBorder="1" applyAlignment="1"/>
    <xf numFmtId="165" fontId="75" fillId="0" borderId="0" xfId="0" applyNumberFormat="1" applyFont="1" applyFill="1" applyBorder="1" applyAlignment="1">
      <alignment horizontal="center"/>
    </xf>
    <xf numFmtId="165" fontId="68" fillId="0" borderId="0" xfId="0" applyNumberFormat="1" applyFont="1" applyFill="1" applyBorder="1"/>
    <xf numFmtId="165" fontId="69" fillId="0" borderId="0" xfId="0" applyNumberFormat="1" applyFont="1" applyFill="1" applyBorder="1"/>
    <xf numFmtId="0" fontId="0" fillId="0" borderId="0" xfId="0" applyBorder="1"/>
    <xf numFmtId="165" fontId="76" fillId="11" borderId="0" xfId="0" applyNumberFormat="1" applyFont="1" applyFill="1" applyAlignment="1">
      <alignment vertical="center"/>
    </xf>
    <xf numFmtId="165" fontId="77" fillId="0" borderId="0" xfId="0" applyNumberFormat="1" applyFont="1" applyAlignment="1">
      <alignment horizontal="center" vertical="center"/>
    </xf>
    <xf numFmtId="165" fontId="78" fillId="9" borderId="0" xfId="0" applyNumberFormat="1" applyFont="1" applyFill="1" applyAlignment="1">
      <alignment vertical="center"/>
    </xf>
    <xf numFmtId="165" fontId="78" fillId="0" borderId="0" xfId="0" applyNumberFormat="1" applyFont="1" applyAlignment="1">
      <alignment horizontal="center" vertical="center"/>
    </xf>
    <xf numFmtId="0" fontId="17" fillId="0" borderId="0" xfId="0" applyFont="1" applyAlignment="1">
      <alignment vertical="center"/>
    </xf>
    <xf numFmtId="0" fontId="0" fillId="0" borderId="0" xfId="0"/>
    <xf numFmtId="43" fontId="58" fillId="0" borderId="0" xfId="67" applyNumberFormat="1" applyFont="1" applyBorder="1" applyAlignment="1">
      <alignment horizontal="right" vertical="center" wrapText="1"/>
    </xf>
    <xf numFmtId="43" fontId="59" fillId="0" borderId="0" xfId="67" applyNumberFormat="1" applyFont="1" applyBorder="1" applyAlignment="1">
      <alignment horizontal="right" vertical="center" wrapText="1"/>
    </xf>
    <xf numFmtId="0" fontId="0" fillId="0" borderId="0" xfId="0" applyFill="1"/>
    <xf numFmtId="0" fontId="0" fillId="0" borderId="0" xfId="0"/>
    <xf numFmtId="171" fontId="60" fillId="9" borderId="0" xfId="0" applyNumberFormat="1" applyFont="1" applyFill="1" applyBorder="1" applyAlignment="1">
      <alignment horizontal="left" vertical="center"/>
    </xf>
    <xf numFmtId="171" fontId="60" fillId="9" borderId="0" xfId="0" applyNumberFormat="1" applyFont="1" applyFill="1" applyBorder="1" applyAlignment="1">
      <alignment horizontal="center"/>
    </xf>
    <xf numFmtId="0" fontId="60" fillId="9" borderId="0" xfId="0" applyFont="1" applyFill="1"/>
    <xf numFmtId="171" fontId="60" fillId="9" borderId="0" xfId="64" applyNumberFormat="1" applyFont="1" applyFill="1" applyBorder="1"/>
    <xf numFmtId="0" fontId="60" fillId="9" borderId="0" xfId="0" applyFont="1" applyFill="1" applyBorder="1"/>
    <xf numFmtId="171" fontId="60" fillId="9" borderId="0" xfId="2" applyNumberFormat="1" applyFont="1" applyFill="1" applyBorder="1"/>
    <xf numFmtId="0" fontId="60" fillId="9" borderId="0" xfId="2" applyFont="1" applyFill="1" applyBorder="1"/>
    <xf numFmtId="0" fontId="8" fillId="0" borderId="18" xfId="67" applyFont="1" applyBorder="1" applyAlignment="1">
      <alignment horizontal="left" vertical="center"/>
    </xf>
    <xf numFmtId="0" fontId="51" fillId="0" borderId="0" xfId="0" applyFont="1" applyBorder="1"/>
    <xf numFmtId="43" fontId="82" fillId="0" borderId="0" xfId="67" applyNumberFormat="1" applyFont="1" applyBorder="1" applyAlignment="1">
      <alignment horizontal="right" vertical="center" wrapText="1"/>
    </xf>
    <xf numFmtId="43" fontId="80" fillId="9" borderId="4" xfId="67" applyNumberFormat="1" applyFont="1" applyFill="1" applyBorder="1" applyAlignment="1">
      <alignment horizontal="right" vertical="center" wrapText="1"/>
    </xf>
    <xf numFmtId="165" fontId="79" fillId="8" borderId="4" xfId="0" applyNumberFormat="1" applyFont="1" applyFill="1" applyBorder="1" applyAlignment="1">
      <alignment horizontal="center"/>
    </xf>
    <xf numFmtId="43" fontId="81" fillId="13" borderId="4" xfId="67" applyNumberFormat="1" applyFont="1" applyFill="1" applyBorder="1" applyAlignment="1">
      <alignment horizontal="right" vertical="center" wrapText="1"/>
    </xf>
    <xf numFmtId="43" fontId="80" fillId="12" borderId="4" xfId="67" applyNumberFormat="1" applyFont="1" applyFill="1" applyBorder="1" applyAlignment="1">
      <alignment horizontal="right" vertical="center" wrapText="1"/>
    </xf>
    <xf numFmtId="43" fontId="83" fillId="13" borderId="4" xfId="67" applyNumberFormat="1" applyFont="1" applyFill="1" applyBorder="1" applyAlignment="1">
      <alignment horizontal="right" vertical="center" wrapText="1"/>
    </xf>
    <xf numFmtId="165" fontId="80" fillId="12" borderId="4" xfId="67" applyNumberFormat="1" applyFont="1" applyFill="1" applyBorder="1" applyAlignment="1">
      <alignment horizontal="right" vertical="center" wrapText="1"/>
    </xf>
    <xf numFmtId="43" fontId="82" fillId="14" borderId="4" xfId="67" applyNumberFormat="1" applyFont="1" applyFill="1" applyBorder="1" applyAlignment="1">
      <alignment horizontal="right" vertical="center" wrapText="1"/>
    </xf>
    <xf numFmtId="43" fontId="82" fillId="13" borderId="4" xfId="67" applyNumberFormat="1" applyFont="1" applyFill="1" applyBorder="1" applyAlignment="1">
      <alignment horizontal="right" vertical="center" wrapText="1"/>
    </xf>
    <xf numFmtId="0" fontId="82" fillId="0" borderId="4" xfId="67" applyFont="1" applyFill="1" applyBorder="1" applyAlignment="1">
      <alignment horizontal="left" vertical="center"/>
    </xf>
    <xf numFmtId="43" fontId="82" fillId="3" borderId="4" xfId="67" applyNumberFormat="1" applyFont="1" applyFill="1" applyBorder="1" applyAlignment="1">
      <alignment horizontal="right" vertical="center" wrapText="1"/>
    </xf>
    <xf numFmtId="0" fontId="51" fillId="3" borderId="4" xfId="0" applyFont="1" applyFill="1" applyBorder="1"/>
    <xf numFmtId="0" fontId="8" fillId="0" borderId="4" xfId="67" applyFont="1" applyFill="1" applyBorder="1" applyAlignment="1">
      <alignment horizontal="left" vertical="center"/>
    </xf>
    <xf numFmtId="0" fontId="51" fillId="0" borderId="4" xfId="0" applyFont="1" applyBorder="1"/>
    <xf numFmtId="43" fontId="82" fillId="0" borderId="4" xfId="67" applyNumberFormat="1" applyFont="1" applyBorder="1" applyAlignment="1">
      <alignment horizontal="right" vertical="center" wrapText="1"/>
    </xf>
    <xf numFmtId="0" fontId="84" fillId="0" borderId="4" xfId="0" applyFont="1" applyBorder="1"/>
    <xf numFmtId="0" fontId="80" fillId="9" borderId="18" xfId="67" applyFont="1" applyFill="1" applyBorder="1" applyAlignment="1">
      <alignment horizontal="left" vertical="center"/>
    </xf>
    <xf numFmtId="0" fontId="82" fillId="0" borderId="18" xfId="67" applyFont="1" applyBorder="1" applyAlignment="1">
      <alignment horizontal="left" vertical="center"/>
    </xf>
    <xf numFmtId="0" fontId="82" fillId="0" borderId="18" xfId="67" applyFont="1" applyFill="1" applyBorder="1" applyAlignment="1">
      <alignment horizontal="left" vertical="center"/>
    </xf>
    <xf numFmtId="0" fontId="8" fillId="0" borderId="18" xfId="67" applyFont="1" applyFill="1" applyBorder="1" applyAlignment="1">
      <alignment horizontal="left" vertical="center"/>
    </xf>
    <xf numFmtId="9" fontId="0" fillId="0" borderId="0" xfId="0" applyNumberFormat="1" applyBorder="1"/>
    <xf numFmtId="9" fontId="0" fillId="0" borderId="0" xfId="0" applyNumberFormat="1"/>
    <xf numFmtId="165" fontId="78" fillId="3" borderId="0" xfId="0" applyNumberFormat="1" applyFont="1" applyFill="1" applyAlignment="1">
      <alignment vertical="center"/>
    </xf>
    <xf numFmtId="0" fontId="80" fillId="9" borderId="4" xfId="0" applyFont="1" applyFill="1" applyBorder="1"/>
    <xf numFmtId="9" fontId="85" fillId="0" borderId="4" xfId="67" applyNumberFormat="1" applyFont="1" applyBorder="1" applyAlignment="1">
      <alignment horizontal="right" vertical="center" wrapText="1"/>
    </xf>
    <xf numFmtId="0" fontId="80" fillId="9" borderId="18" xfId="0" applyFont="1" applyFill="1" applyBorder="1"/>
    <xf numFmtId="0" fontId="51" fillId="0" borderId="18" xfId="0" applyFont="1" applyBorder="1"/>
    <xf numFmtId="0" fontId="84" fillId="0" borderId="18" xfId="0" applyFont="1" applyBorder="1"/>
    <xf numFmtId="165" fontId="65" fillId="0" borderId="4" xfId="0" applyNumberFormat="1" applyFont="1" applyFill="1" applyBorder="1"/>
    <xf numFmtId="165" fontId="66" fillId="0" borderId="4" xfId="0" applyNumberFormat="1" applyFont="1" applyFill="1" applyBorder="1" applyAlignment="1">
      <alignment horizontal="right"/>
    </xf>
    <xf numFmtId="165" fontId="86" fillId="0" borderId="4" xfId="0" applyNumberFormat="1" applyFont="1" applyBorder="1"/>
    <xf numFmtId="165" fontId="87" fillId="0" borderId="4" xfId="0" applyNumberFormat="1" applyFont="1" applyBorder="1"/>
    <xf numFmtId="165" fontId="88" fillId="8" borderId="2" xfId="0" applyNumberFormat="1" applyFont="1" applyFill="1" applyBorder="1" applyAlignment="1">
      <alignment horizontal="center"/>
    </xf>
    <xf numFmtId="164" fontId="89" fillId="9" borderId="4" xfId="0" applyNumberFormat="1" applyFont="1" applyFill="1" applyBorder="1" applyAlignment="1">
      <alignment horizontal="left" vertical="center"/>
    </xf>
    <xf numFmtId="165" fontId="87" fillId="3" borderId="0" xfId="0" applyNumberFormat="1" applyFont="1" applyFill="1"/>
    <xf numFmtId="165" fontId="86" fillId="3" borderId="0" xfId="0" applyNumberFormat="1" applyFont="1" applyFill="1"/>
    <xf numFmtId="165" fontId="87" fillId="0" borderId="4" xfId="0" applyNumberFormat="1" applyFont="1" applyBorder="1" applyAlignment="1">
      <alignment horizontal="left" vertical="top"/>
    </xf>
    <xf numFmtId="165" fontId="90" fillId="3" borderId="0" xfId="0" applyNumberFormat="1" applyFont="1" applyFill="1"/>
    <xf numFmtId="165" fontId="91" fillId="8" borderId="8" xfId="0" applyNumberFormat="1" applyFont="1" applyFill="1" applyBorder="1"/>
    <xf numFmtId="165" fontId="92" fillId="0" borderId="8" xfId="0" applyNumberFormat="1" applyFont="1" applyBorder="1"/>
    <xf numFmtId="165" fontId="91" fillId="8" borderId="4" xfId="0" applyNumberFormat="1" applyFont="1" applyFill="1" applyBorder="1"/>
    <xf numFmtId="165" fontId="89" fillId="15" borderId="1" xfId="0" applyNumberFormat="1" applyFont="1" applyFill="1" applyBorder="1" applyAlignment="1">
      <alignment horizontal="center"/>
    </xf>
    <xf numFmtId="165" fontId="93" fillId="14" borderId="1" xfId="0" applyNumberFormat="1" applyFont="1" applyFill="1" applyBorder="1" applyAlignment="1">
      <alignment horizontal="center"/>
    </xf>
    <xf numFmtId="165" fontId="90" fillId="9" borderId="0" xfId="0" applyNumberFormat="1" applyFont="1" applyFill="1"/>
    <xf numFmtId="166" fontId="86" fillId="2" borderId="4" xfId="3" applyNumberFormat="1" applyFont="1" applyFill="1" applyBorder="1" applyAlignment="1">
      <alignment horizontal="left"/>
    </xf>
    <xf numFmtId="166" fontId="86" fillId="2" borderId="4" xfId="3" applyNumberFormat="1" applyFont="1" applyFill="1" applyBorder="1" applyAlignment="1">
      <alignment horizontal="left" wrapText="1"/>
    </xf>
    <xf numFmtId="166" fontId="86" fillId="2" borderId="5" xfId="3" applyNumberFormat="1" applyFont="1" applyFill="1" applyBorder="1" applyAlignment="1">
      <alignment horizontal="left"/>
    </xf>
    <xf numFmtId="166" fontId="89" fillId="9" borderId="0" xfId="3" applyNumberFormat="1" applyFont="1" applyFill="1" applyBorder="1"/>
    <xf numFmtId="166" fontId="86" fillId="2" borderId="8" xfId="3" applyNumberFormat="1" applyFont="1" applyFill="1" applyBorder="1" applyAlignment="1">
      <alignment horizontal="left"/>
    </xf>
    <xf numFmtId="165" fontId="87" fillId="3" borderId="4" xfId="0" applyNumberFormat="1" applyFont="1" applyFill="1" applyBorder="1"/>
    <xf numFmtId="165" fontId="92" fillId="0" borderId="4" xfId="0" applyNumberFormat="1" applyFont="1" applyBorder="1"/>
    <xf numFmtId="165" fontId="92" fillId="13" borderId="4" xfId="0" applyNumberFormat="1" applyFont="1" applyFill="1" applyBorder="1"/>
    <xf numFmtId="165" fontId="89" fillId="15" borderId="4" xfId="0" applyNumberFormat="1" applyFont="1" applyFill="1" applyBorder="1" applyAlignment="1">
      <alignment horizontal="center"/>
    </xf>
    <xf numFmtId="165" fontId="89" fillId="14" borderId="4" xfId="0" applyNumberFormat="1" applyFont="1" applyFill="1" applyBorder="1" applyAlignment="1">
      <alignment horizontal="center"/>
    </xf>
    <xf numFmtId="165" fontId="91" fillId="13" borderId="8" xfId="0" applyNumberFormat="1" applyFont="1" applyFill="1" applyBorder="1"/>
    <xf numFmtId="165" fontId="91" fillId="13" borderId="4" xfId="0" applyNumberFormat="1" applyFont="1" applyFill="1" applyBorder="1"/>
    <xf numFmtId="165" fontId="93" fillId="14" borderId="0" xfId="0" applyNumberFormat="1" applyFont="1" applyFill="1" applyBorder="1" applyAlignment="1">
      <alignment horizontal="center"/>
    </xf>
    <xf numFmtId="165" fontId="89" fillId="15" borderId="0" xfId="0" applyNumberFormat="1" applyFont="1" applyFill="1" applyBorder="1" applyAlignment="1">
      <alignment horizontal="center"/>
    </xf>
    <xf numFmtId="164" fontId="71" fillId="9" borderId="4" xfId="0" applyNumberFormat="1" applyFont="1" applyFill="1" applyBorder="1" applyAlignment="1">
      <alignment horizontal="left" vertical="center"/>
    </xf>
    <xf numFmtId="0" fontId="72" fillId="0" borderId="4" xfId="0" applyFont="1" applyFill="1" applyBorder="1"/>
    <xf numFmtId="165" fontId="72" fillId="0" borderId="4" xfId="0" applyNumberFormat="1" applyFont="1" applyFill="1" applyBorder="1"/>
    <xf numFmtId="0" fontId="69" fillId="0" borderId="4" xfId="0" applyFont="1" applyFill="1" applyBorder="1"/>
    <xf numFmtId="165" fontId="70" fillId="0" borderId="4" xfId="0" applyNumberFormat="1" applyFont="1" applyFill="1" applyBorder="1" applyAlignment="1">
      <alignment horizontal="right"/>
    </xf>
    <xf numFmtId="0" fontId="72" fillId="0" borderId="4" xfId="0" applyFont="1" applyFill="1" applyBorder="1" applyAlignment="1">
      <alignment horizontal="left"/>
    </xf>
    <xf numFmtId="165" fontId="73" fillId="0" borderId="4" xfId="0" applyNumberFormat="1" applyFont="1" applyFill="1" applyBorder="1" applyAlignment="1">
      <alignment horizontal="right"/>
    </xf>
    <xf numFmtId="165" fontId="72" fillId="0" borderId="4" xfId="0" applyNumberFormat="1" applyFont="1" applyFill="1" applyBorder="1" applyAlignment="1">
      <alignment horizontal="right"/>
    </xf>
    <xf numFmtId="0" fontId="69" fillId="0" borderId="4" xfId="0" applyFont="1" applyFill="1" applyBorder="1" applyAlignment="1"/>
    <xf numFmtId="0" fontId="72" fillId="0" borderId="4" xfId="0" applyFont="1" applyFill="1" applyBorder="1" applyAlignment="1"/>
    <xf numFmtId="0" fontId="68" fillId="0" borderId="4" xfId="0" applyFont="1" applyFill="1" applyBorder="1" applyAlignment="1"/>
    <xf numFmtId="0" fontId="74" fillId="0" borderId="4" xfId="0" applyFont="1" applyFill="1" applyBorder="1" applyAlignment="1"/>
    <xf numFmtId="0" fontId="69" fillId="0" borderId="4" xfId="0" applyFont="1" applyBorder="1"/>
    <xf numFmtId="0" fontId="72" fillId="0" borderId="4" xfId="0" applyFont="1" applyBorder="1"/>
    <xf numFmtId="165" fontId="67" fillId="0" borderId="4" xfId="0" applyNumberFormat="1" applyFont="1" applyFill="1" applyBorder="1" applyAlignment="1">
      <alignment horizontal="right"/>
    </xf>
    <xf numFmtId="165" fontId="67" fillId="12" borderId="4" xfId="0" applyNumberFormat="1" applyFont="1" applyFill="1" applyBorder="1" applyAlignment="1">
      <alignment horizontal="right"/>
    </xf>
    <xf numFmtId="165" fontId="67" fillId="3" borderId="4" xfId="0" applyNumberFormat="1" applyFont="1" applyFill="1" applyBorder="1" applyAlignment="1">
      <alignment horizontal="right"/>
    </xf>
    <xf numFmtId="165" fontId="70" fillId="8" borderId="4" xfId="0" applyNumberFormat="1" applyFont="1" applyFill="1" applyBorder="1" applyAlignment="1">
      <alignment horizontal="right"/>
    </xf>
    <xf numFmtId="165" fontId="94" fillId="0" borderId="4" xfId="0" applyNumberFormat="1" applyFont="1" applyFill="1" applyBorder="1" applyAlignment="1">
      <alignment horizontal="right"/>
    </xf>
    <xf numFmtId="165" fontId="94" fillId="0" borderId="0" xfId="0" applyNumberFormat="1" applyFont="1" applyFill="1" applyBorder="1" applyAlignment="1">
      <alignment horizontal="right"/>
    </xf>
    <xf numFmtId="2" fontId="39" fillId="8" borderId="4" xfId="65" applyNumberFormat="1" applyFont="1" applyFill="1" applyBorder="1" applyAlignment="1">
      <alignment horizontal="right" vertical="center"/>
    </xf>
    <xf numFmtId="0" fontId="68" fillId="0" borderId="4" xfId="7" applyFont="1" applyFill="1" applyBorder="1"/>
    <xf numFmtId="167" fontId="69" fillId="0" borderId="4" xfId="1" applyNumberFormat="1" applyFont="1" applyFill="1" applyBorder="1"/>
    <xf numFmtId="0" fontId="68" fillId="0" borderId="4" xfId="0" applyFont="1" applyFill="1" applyBorder="1"/>
    <xf numFmtId="0" fontId="68" fillId="0" borderId="18" xfId="7" applyFont="1" applyFill="1" applyBorder="1"/>
    <xf numFmtId="0" fontId="68" fillId="0" borderId="18" xfId="0" applyFont="1" applyFill="1" applyBorder="1"/>
    <xf numFmtId="0" fontId="69" fillId="0" borderId="18" xfId="8" applyFont="1" applyFill="1" applyBorder="1"/>
    <xf numFmtId="0" fontId="68" fillId="0" borderId="18" xfId="9" applyFont="1" applyFill="1" applyBorder="1"/>
    <xf numFmtId="0" fontId="68" fillId="0" borderId="18" xfId="8" applyFont="1" applyFill="1" applyBorder="1"/>
    <xf numFmtId="165" fontId="65" fillId="0" borderId="18" xfId="0" applyNumberFormat="1" applyFont="1" applyFill="1" applyBorder="1"/>
    <xf numFmtId="0" fontId="64" fillId="0" borderId="18" xfId="0" applyFont="1" applyFill="1" applyBorder="1"/>
    <xf numFmtId="0" fontId="74" fillId="0" borderId="18" xfId="7" applyFont="1" applyFill="1" applyBorder="1"/>
    <xf numFmtId="0" fontId="74" fillId="0" borderId="18" xfId="0" applyFont="1" applyFill="1" applyBorder="1"/>
    <xf numFmtId="10" fontId="62" fillId="0" borderId="2" xfId="64" applyNumberFormat="1" applyFont="1" applyFill="1" applyBorder="1"/>
    <xf numFmtId="2" fontId="62" fillId="0" borderId="2" xfId="4" applyNumberFormat="1" applyFont="1" applyFill="1" applyBorder="1"/>
    <xf numFmtId="177" fontId="62" fillId="0" borderId="2" xfId="4" applyNumberFormat="1" applyFont="1" applyFill="1" applyBorder="1"/>
    <xf numFmtId="165" fontId="95" fillId="8" borderId="2" xfId="0" applyNumberFormat="1" applyFont="1" applyFill="1" applyBorder="1" applyAlignment="1">
      <alignment horizontal="center"/>
    </xf>
    <xf numFmtId="165" fontId="89" fillId="12" borderId="4" xfId="0" applyNumberFormat="1" applyFont="1" applyFill="1" applyBorder="1" applyAlignment="1">
      <alignment horizontal="center"/>
    </xf>
    <xf numFmtId="165" fontId="89" fillId="12" borderId="4" xfId="0" applyNumberFormat="1" applyFont="1" applyFill="1" applyBorder="1" applyAlignment="1"/>
    <xf numFmtId="165" fontId="87" fillId="0" borderId="4" xfId="0" applyNumberFormat="1" applyFont="1" applyFill="1" applyBorder="1" applyAlignment="1"/>
    <xf numFmtId="165" fontId="76" fillId="11" borderId="0" xfId="0" applyNumberFormat="1" applyFont="1" applyFill="1" applyBorder="1" applyAlignment="1">
      <alignment vertical="center"/>
    </xf>
    <xf numFmtId="165" fontId="77" fillId="0" borderId="0" xfId="0" applyNumberFormat="1" applyFont="1" applyFill="1" applyBorder="1" applyAlignment="1">
      <alignment vertical="center"/>
    </xf>
    <xf numFmtId="165" fontId="51" fillId="0" borderId="0" xfId="0" applyNumberFormat="1" applyFont="1" applyFill="1"/>
    <xf numFmtId="165" fontId="76" fillId="0" borderId="0" xfId="0" applyNumberFormat="1" applyFont="1" applyFill="1" applyBorder="1" applyAlignment="1">
      <alignment vertical="center"/>
    </xf>
    <xf numFmtId="165" fontId="51" fillId="0" borderId="0" xfId="0" applyNumberFormat="1" applyFont="1"/>
    <xf numFmtId="165" fontId="78" fillId="9" borderId="0" xfId="0" applyNumberFormat="1" applyFont="1" applyFill="1" applyBorder="1" applyAlignment="1">
      <alignment vertical="center"/>
    </xf>
    <xf numFmtId="165" fontId="78" fillId="0" borderId="0" xfId="0" applyNumberFormat="1" applyFont="1" applyFill="1" applyBorder="1" applyAlignment="1">
      <alignment vertical="center"/>
    </xf>
    <xf numFmtId="165" fontId="80" fillId="0" borderId="0" xfId="0" applyNumberFormat="1" applyFont="1" applyFill="1" applyBorder="1" applyAlignment="1"/>
    <xf numFmtId="165" fontId="17" fillId="0" borderId="0" xfId="0" applyNumberFormat="1" applyFont="1" applyFill="1" applyBorder="1" applyAlignment="1">
      <alignment vertical="center"/>
    </xf>
    <xf numFmtId="164" fontId="89" fillId="9" borderId="0" xfId="0" applyNumberFormat="1" applyFont="1" applyFill="1" applyBorder="1" applyAlignment="1">
      <alignment horizontal="left" vertical="center"/>
    </xf>
    <xf numFmtId="165" fontId="87" fillId="0" borderId="0" xfId="0" applyNumberFormat="1" applyFont="1" applyFill="1" applyBorder="1"/>
    <xf numFmtId="165" fontId="90" fillId="0" borderId="0" xfId="0" applyNumberFormat="1" applyFont="1" applyFill="1" applyBorder="1"/>
    <xf numFmtId="165" fontId="87" fillId="0" borderId="4" xfId="0" applyNumberFormat="1" applyFont="1" applyFill="1" applyBorder="1"/>
    <xf numFmtId="165" fontId="90" fillId="0" borderId="4" xfId="0" applyNumberFormat="1" applyFont="1" applyFill="1" applyBorder="1"/>
    <xf numFmtId="165" fontId="96" fillId="0" borderId="4" xfId="0" applyNumberFormat="1" applyFont="1" applyFill="1" applyBorder="1" applyAlignment="1">
      <alignment horizontal="center"/>
    </xf>
    <xf numFmtId="165" fontId="88" fillId="0" borderId="4" xfId="0" applyNumberFormat="1" applyFont="1" applyFill="1" applyBorder="1" applyAlignment="1">
      <alignment horizontal="center"/>
    </xf>
    <xf numFmtId="165" fontId="90" fillId="0" borderId="0" xfId="0" applyNumberFormat="1" applyFont="1" applyFill="1" applyBorder="1" applyAlignment="1"/>
    <xf numFmtId="165" fontId="87" fillId="0" borderId="4" xfId="0" applyNumberFormat="1" applyFont="1" applyFill="1" applyBorder="1" applyAlignment="1">
      <alignment horizontal="center"/>
    </xf>
    <xf numFmtId="165" fontId="87" fillId="0" borderId="0" xfId="0" applyNumberFormat="1" applyFont="1" applyFill="1" applyBorder="1" applyAlignment="1">
      <alignment horizontal="center"/>
    </xf>
    <xf numFmtId="165" fontId="97" fillId="0" borderId="4" xfId="0" applyNumberFormat="1" applyFont="1" applyFill="1" applyBorder="1" applyAlignment="1">
      <alignment horizontal="right"/>
    </xf>
    <xf numFmtId="165" fontId="98" fillId="0" borderId="0" xfId="0" applyNumberFormat="1" applyFont="1" applyFill="1" applyBorder="1"/>
    <xf numFmtId="165" fontId="89" fillId="0" borderId="4" xfId="0" applyNumberFormat="1" applyFont="1" applyFill="1" applyBorder="1" applyAlignment="1"/>
    <xf numFmtId="165" fontId="90" fillId="0" borderId="4" xfId="0" applyNumberFormat="1" applyFont="1" applyFill="1" applyBorder="1" applyAlignment="1"/>
    <xf numFmtId="165" fontId="86" fillId="0" borderId="4" xfId="0" applyNumberFormat="1" applyFont="1" applyFill="1" applyBorder="1" applyAlignment="1">
      <alignment horizontal="left" indent="2"/>
    </xf>
    <xf numFmtId="165" fontId="86" fillId="0" borderId="4" xfId="0" applyNumberFormat="1" applyFont="1" applyFill="1" applyBorder="1" applyAlignment="1">
      <alignment horizontal="left" vertical="top"/>
    </xf>
    <xf numFmtId="165" fontId="87" fillId="0" borderId="4" xfId="0" applyNumberFormat="1" applyFont="1" applyFill="1" applyBorder="1" applyAlignment="1">
      <alignment horizontal="left" vertical="top"/>
    </xf>
    <xf numFmtId="165" fontId="99" fillId="0" borderId="4" xfId="0" applyNumberFormat="1" applyFont="1" applyFill="1" applyBorder="1" applyAlignment="1">
      <alignment horizontal="left" indent="2"/>
    </xf>
    <xf numFmtId="165" fontId="99" fillId="0" borderId="4" xfId="0" applyNumberFormat="1" applyFont="1" applyFill="1" applyBorder="1" applyAlignment="1">
      <alignment horizontal="center"/>
    </xf>
    <xf numFmtId="165" fontId="99" fillId="0" borderId="4" xfId="0" applyNumberFormat="1" applyFont="1" applyFill="1" applyBorder="1" applyAlignment="1">
      <alignment horizontal="right"/>
    </xf>
    <xf numFmtId="165" fontId="100" fillId="0" borderId="4" xfId="0" applyNumberFormat="1" applyFont="1" applyFill="1" applyBorder="1"/>
    <xf numFmtId="165" fontId="89" fillId="0" borderId="4" xfId="0" applyNumberFormat="1" applyFont="1" applyFill="1" applyBorder="1" applyAlignment="1">
      <alignment horizontal="left"/>
    </xf>
    <xf numFmtId="167" fontId="88" fillId="0" borderId="4" xfId="0" applyNumberFormat="1" applyFont="1" applyFill="1" applyBorder="1" applyAlignment="1">
      <alignment horizontal="right"/>
    </xf>
    <xf numFmtId="165" fontId="86" fillId="0" borderId="4" xfId="0" applyNumberFormat="1" applyFont="1" applyFill="1" applyBorder="1"/>
    <xf numFmtId="167" fontId="97" fillId="0" borderId="4" xfId="0" applyNumberFormat="1" applyFont="1" applyFill="1" applyBorder="1" applyAlignment="1">
      <alignment horizontal="right"/>
    </xf>
    <xf numFmtId="165" fontId="97" fillId="0" borderId="4" xfId="0" applyNumberFormat="1" applyFont="1" applyFill="1" applyBorder="1"/>
    <xf numFmtId="165" fontId="97" fillId="0" borderId="0" xfId="0" applyNumberFormat="1" applyFont="1" applyFill="1" applyBorder="1"/>
    <xf numFmtId="165" fontId="89" fillId="12" borderId="4" xfId="0" applyNumberFormat="1" applyFont="1" applyFill="1" applyBorder="1" applyAlignment="1">
      <alignment horizontal="right"/>
    </xf>
    <xf numFmtId="1" fontId="0" fillId="0" borderId="0" xfId="1" applyNumberFormat="1" applyFont="1"/>
    <xf numFmtId="177" fontId="0" fillId="0" borderId="0" xfId="1" applyNumberFormat="1" applyFont="1"/>
    <xf numFmtId="170" fontId="55" fillId="11" borderId="0" xfId="0" applyNumberFormat="1" applyFont="1" applyFill="1"/>
    <xf numFmtId="165" fontId="50" fillId="11" borderId="0" xfId="0" applyNumberFormat="1" applyFont="1" applyFill="1" applyAlignment="1">
      <alignment vertical="center"/>
    </xf>
    <xf numFmtId="165" fontId="49" fillId="0" borderId="0" xfId="0" applyNumberFormat="1" applyFont="1" applyAlignment="1">
      <alignment horizontal="center" vertical="center"/>
    </xf>
    <xf numFmtId="165" fontId="48" fillId="9" borderId="0" xfId="0" applyNumberFormat="1" applyFont="1" applyFill="1" applyAlignment="1">
      <alignment vertical="center"/>
    </xf>
    <xf numFmtId="165" fontId="48" fillId="0" borderId="0" xfId="0" applyNumberFormat="1" applyFont="1" applyAlignment="1">
      <alignment horizontal="center" vertical="center"/>
    </xf>
    <xf numFmtId="0" fontId="102" fillId="3" borderId="0" xfId="50" applyFont="1" applyFill="1"/>
    <xf numFmtId="43" fontId="102" fillId="3" borderId="0" xfId="64" applyFont="1" applyFill="1" applyBorder="1"/>
    <xf numFmtId="0" fontId="5" fillId="0" borderId="0" xfId="50" applyFont="1"/>
    <xf numFmtId="0" fontId="6" fillId="3" borderId="0" xfId="50" applyFont="1" applyFill="1" applyAlignment="1">
      <alignment horizontal="center"/>
    </xf>
    <xf numFmtId="0" fontId="6" fillId="3" borderId="0" xfId="50" applyFont="1" applyFill="1"/>
    <xf numFmtId="0" fontId="6" fillId="3" borderId="0" xfId="50" applyFont="1" applyFill="1" applyAlignment="1">
      <alignment horizontal="right"/>
    </xf>
    <xf numFmtId="176" fontId="102" fillId="3" borderId="0" xfId="50" applyNumberFormat="1" applyFont="1" applyFill="1"/>
    <xf numFmtId="178" fontId="0" fillId="0" borderId="0" xfId="64" applyNumberFormat="1" applyFont="1"/>
    <xf numFmtId="178" fontId="52" fillId="0" borderId="0" xfId="64" applyNumberFormat="1" applyFont="1" applyBorder="1"/>
    <xf numFmtId="0" fontId="69" fillId="0" borderId="0" xfId="50" applyFont="1" applyAlignment="1">
      <alignment horizontal="left"/>
    </xf>
    <xf numFmtId="0" fontId="72" fillId="0" borderId="0" xfId="0" applyFont="1"/>
    <xf numFmtId="166" fontId="69" fillId="0" borderId="0" xfId="48" applyNumberFormat="1" applyFont="1" applyFill="1" applyBorder="1"/>
    <xf numFmtId="170" fontId="69" fillId="0" borderId="0" xfId="0" applyNumberFormat="1" applyFont="1" applyAlignment="1">
      <alignment horizontal="right"/>
    </xf>
    <xf numFmtId="166" fontId="69" fillId="0" borderId="0" xfId="3" applyNumberFormat="1" applyFont="1" applyFill="1" applyBorder="1"/>
    <xf numFmtId="0" fontId="69" fillId="0" borderId="19" xfId="50" applyFont="1" applyBorder="1"/>
    <xf numFmtId="166" fontId="69" fillId="0" borderId="19" xfId="3" applyNumberFormat="1" applyFont="1" applyFill="1" applyBorder="1"/>
    <xf numFmtId="167" fontId="69" fillId="0" borderId="19" xfId="51" applyNumberFormat="1" applyFont="1" applyFill="1" applyBorder="1" applyAlignment="1"/>
    <xf numFmtId="167" fontId="72" fillId="0" borderId="19" xfId="51" applyNumberFormat="1" applyFont="1" applyFill="1" applyBorder="1" applyAlignment="1"/>
    <xf numFmtId="0" fontId="72" fillId="0" borderId="19" xfId="50" applyFont="1" applyBorder="1"/>
    <xf numFmtId="0" fontId="72" fillId="16" borderId="0" xfId="0" applyFont="1" applyFill="1"/>
    <xf numFmtId="165" fontId="67" fillId="9" borderId="19" xfId="0" applyNumberFormat="1" applyFont="1" applyFill="1" applyBorder="1" applyAlignment="1">
      <alignment vertical="center"/>
    </xf>
    <xf numFmtId="170" fontId="67" fillId="9" borderId="19" xfId="0" applyNumberFormat="1" applyFont="1" applyFill="1" applyBorder="1" applyAlignment="1">
      <alignment horizontal="right"/>
    </xf>
    <xf numFmtId="166" fontId="103" fillId="0" borderId="19" xfId="3" applyNumberFormat="1" applyFont="1" applyFill="1" applyBorder="1"/>
    <xf numFmtId="9" fontId="103" fillId="0" borderId="19" xfId="51" applyFont="1" applyFill="1" applyBorder="1"/>
    <xf numFmtId="10" fontId="103" fillId="0" borderId="19" xfId="3" applyNumberFormat="1" applyFont="1" applyFill="1" applyBorder="1"/>
    <xf numFmtId="166" fontId="94" fillId="0" borderId="19" xfId="3" applyNumberFormat="1" applyFont="1" applyFill="1" applyBorder="1"/>
    <xf numFmtId="167" fontId="103" fillId="0" borderId="4" xfId="1" applyNumberFormat="1" applyFont="1" applyFill="1" applyBorder="1"/>
    <xf numFmtId="177" fontId="103" fillId="0" borderId="4" xfId="1" applyNumberFormat="1" applyFont="1" applyFill="1" applyBorder="1"/>
    <xf numFmtId="167" fontId="103" fillId="13" borderId="4" xfId="1" applyNumberFormat="1" applyFont="1" applyFill="1" applyBorder="1"/>
    <xf numFmtId="165" fontId="98" fillId="16" borderId="4" xfId="0" applyNumberFormat="1" applyFont="1" applyFill="1" applyBorder="1"/>
    <xf numFmtId="171" fontId="89" fillId="9" borderId="4" xfId="0" applyNumberFormat="1" applyFont="1" applyFill="1" applyBorder="1" applyAlignment="1">
      <alignment horizontal="right"/>
    </xf>
    <xf numFmtId="170" fontId="89" fillId="9" borderId="4" xfId="0" applyNumberFormat="1" applyFont="1" applyFill="1" applyBorder="1" applyAlignment="1">
      <alignment horizontal="right"/>
    </xf>
    <xf numFmtId="0" fontId="0" fillId="0" borderId="0" xfId="0"/>
    <xf numFmtId="167" fontId="70" fillId="0" borderId="0" xfId="50" applyNumberFormat="1" applyFont="1" applyAlignment="1">
      <alignment horizontal="left"/>
    </xf>
    <xf numFmtId="43" fontId="69" fillId="0" borderId="0" xfId="64" applyFont="1" applyFill="1" applyBorder="1" applyAlignment="1">
      <alignment horizontal="left"/>
    </xf>
    <xf numFmtId="167" fontId="72" fillId="0" borderId="0" xfId="51" applyNumberFormat="1" applyFont="1" applyFill="1" applyBorder="1" applyAlignment="1">
      <alignment horizontal="left"/>
    </xf>
    <xf numFmtId="167" fontId="69" fillId="0" borderId="0" xfId="49" applyNumberFormat="1" applyFont="1" applyFill="1" applyBorder="1" applyAlignment="1">
      <alignment horizontal="left"/>
    </xf>
    <xf numFmtId="2" fontId="70" fillId="0" borderId="0" xfId="50" applyNumberFormat="1" applyFont="1" applyAlignment="1">
      <alignment horizontal="left"/>
    </xf>
    <xf numFmtId="0" fontId="72" fillId="0" borderId="0" xfId="50" applyFont="1" applyAlignment="1">
      <alignment horizontal="left"/>
    </xf>
    <xf numFmtId="167" fontId="70" fillId="0" borderId="0" xfId="51" applyNumberFormat="1" applyFont="1" applyFill="1" applyBorder="1" applyAlignment="1">
      <alignment horizontal="left"/>
    </xf>
    <xf numFmtId="10" fontId="70" fillId="0" borderId="0" xfId="50" applyNumberFormat="1" applyFont="1" applyAlignment="1">
      <alignment horizontal="left"/>
    </xf>
    <xf numFmtId="4" fontId="72" fillId="0" borderId="0" xfId="0" applyNumberFormat="1" applyFont="1" applyAlignment="1">
      <alignment horizontal="left"/>
    </xf>
    <xf numFmtId="166" fontId="104" fillId="0" borderId="0" xfId="48" applyNumberFormat="1" applyFont="1" applyFill="1" applyBorder="1" applyAlignment="1">
      <alignment horizontal="left"/>
    </xf>
    <xf numFmtId="175" fontId="69" fillId="0" borderId="0" xfId="64" applyNumberFormat="1" applyFont="1" applyFill="1" applyBorder="1" applyAlignment="1">
      <alignment horizontal="left"/>
    </xf>
    <xf numFmtId="3" fontId="105" fillId="0" borderId="0" xfId="0" applyNumberFormat="1" applyFont="1" applyAlignment="1">
      <alignment horizontal="left"/>
    </xf>
    <xf numFmtId="43" fontId="67" fillId="0" borderId="0" xfId="64" applyFont="1" applyFill="1" applyBorder="1" applyAlignment="1">
      <alignment horizontal="left"/>
    </xf>
    <xf numFmtId="0" fontId="69" fillId="0" borderId="19" xfId="50" applyFont="1" applyBorder="1" applyAlignment="1">
      <alignment horizontal="left"/>
    </xf>
    <xf numFmtId="0" fontId="72" fillId="11" borderId="0" xfId="50" applyFont="1" applyFill="1" applyAlignment="1">
      <alignment horizontal="left"/>
    </xf>
    <xf numFmtId="0" fontId="72" fillId="11" borderId="19" xfId="50" applyFont="1" applyFill="1" applyBorder="1" applyAlignment="1">
      <alignment horizontal="left"/>
    </xf>
    <xf numFmtId="0" fontId="72" fillId="11" borderId="19" xfId="0" applyFont="1" applyFill="1" applyBorder="1" applyAlignment="1">
      <alignment horizontal="left"/>
    </xf>
    <xf numFmtId="43" fontId="95" fillId="8" borderId="2" xfId="0" applyNumberFormat="1" applyFont="1" applyFill="1" applyBorder="1" applyAlignment="1">
      <alignment horizontal="center"/>
    </xf>
    <xf numFmtId="179" fontId="0" fillId="0" borderId="0" xfId="0" applyNumberFormat="1"/>
    <xf numFmtId="180" fontId="82" fillId="14" borderId="4" xfId="67" applyNumberFormat="1" applyFont="1" applyFill="1" applyBorder="1" applyAlignment="1">
      <alignment horizontal="right" vertical="center" wrapText="1"/>
    </xf>
    <xf numFmtId="9" fontId="68" fillId="0" borderId="4" xfId="0" applyNumberFormat="1" applyFont="1" applyFill="1" applyBorder="1"/>
    <xf numFmtId="166" fontId="86" fillId="2" borderId="7" xfId="3" applyNumberFormat="1" applyFont="1" applyFill="1" applyBorder="1" applyAlignment="1">
      <alignment horizontal="left"/>
    </xf>
    <xf numFmtId="165" fontId="87" fillId="3" borderId="0" xfId="0" applyNumberFormat="1" applyFont="1" applyFill="1" applyBorder="1"/>
    <xf numFmtId="165" fontId="89" fillId="14" borderId="0" xfId="0" applyNumberFormat="1" applyFont="1" applyFill="1" applyBorder="1" applyAlignment="1">
      <alignment horizontal="center"/>
    </xf>
    <xf numFmtId="2" fontId="103" fillId="13" borderId="4" xfId="1" applyNumberFormat="1" applyFont="1" applyFill="1" applyBorder="1"/>
    <xf numFmtId="2" fontId="103" fillId="0" borderId="4" xfId="1" applyNumberFormat="1" applyFont="1" applyFill="1" applyBorder="1"/>
    <xf numFmtId="165" fontId="88" fillId="16" borderId="4" xfId="0" applyNumberFormat="1" applyFont="1" applyFill="1" applyBorder="1" applyAlignment="1">
      <alignment horizontal="center"/>
    </xf>
    <xf numFmtId="10" fontId="65" fillId="0" borderId="4" xfId="1" applyNumberFormat="1" applyFont="1" applyFill="1" applyBorder="1"/>
    <xf numFmtId="167" fontId="103" fillId="13" borderId="4" xfId="0" applyNumberFormat="1" applyFont="1" applyFill="1" applyBorder="1"/>
    <xf numFmtId="10" fontId="68" fillId="0" borderId="4" xfId="0" applyNumberFormat="1" applyFont="1" applyFill="1" applyBorder="1"/>
    <xf numFmtId="165" fontId="106" fillId="3" borderId="0" xfId="0" applyNumberFormat="1" applyFont="1" applyFill="1" applyAlignment="1">
      <alignment vertical="center"/>
    </xf>
    <xf numFmtId="165" fontId="70" fillId="8" borderId="0" xfId="0" applyNumberFormat="1" applyFont="1" applyFill="1" applyBorder="1" applyAlignment="1">
      <alignment horizontal="right"/>
    </xf>
    <xf numFmtId="166" fontId="54" fillId="0" borderId="18" xfId="3" applyNumberFormat="1" applyFont="1" applyFill="1" applyBorder="1"/>
    <xf numFmtId="165" fontId="98" fillId="0" borderId="4" xfId="0" applyNumberFormat="1" applyFont="1" applyFill="1" applyBorder="1" applyAlignment="1">
      <alignment horizontal="center"/>
    </xf>
    <xf numFmtId="0" fontId="0" fillId="0" borderId="0" xfId="0"/>
    <xf numFmtId="0" fontId="72" fillId="3" borderId="0" xfId="50" applyFont="1" applyFill="1" applyAlignment="1">
      <alignment horizontal="left"/>
    </xf>
    <xf numFmtId="0" fontId="69" fillId="3" borderId="0" xfId="50" applyFont="1" applyFill="1" applyAlignment="1">
      <alignment horizontal="left"/>
    </xf>
    <xf numFmtId="10" fontId="69" fillId="0" borderId="19" xfId="1" applyNumberFormat="1" applyFont="1" applyBorder="1" applyAlignment="1">
      <alignment horizontal="left"/>
    </xf>
    <xf numFmtId="10" fontId="72" fillId="3" borderId="0" xfId="50" applyNumberFormat="1" applyFont="1" applyFill="1" applyAlignment="1">
      <alignment horizontal="left"/>
    </xf>
    <xf numFmtId="10" fontId="69" fillId="3" borderId="0" xfId="50" applyNumberFormat="1" applyFont="1" applyFill="1" applyAlignment="1">
      <alignment horizontal="left"/>
    </xf>
    <xf numFmtId="10" fontId="69" fillId="3" borderId="0" xfId="1" applyNumberFormat="1" applyFont="1" applyFill="1" applyAlignment="1">
      <alignment horizontal="left"/>
    </xf>
    <xf numFmtId="10" fontId="69" fillId="0" borderId="19" xfId="50" applyNumberFormat="1" applyFont="1" applyBorder="1" applyAlignment="1">
      <alignment horizontal="left"/>
    </xf>
    <xf numFmtId="181" fontId="69" fillId="0" borderId="19" xfId="50" applyNumberFormat="1" applyFont="1" applyBorder="1" applyAlignment="1">
      <alignment horizontal="left"/>
    </xf>
    <xf numFmtId="166" fontId="107" fillId="0" borderId="19" xfId="48" applyNumberFormat="1" applyFont="1" applyFill="1" applyBorder="1" applyAlignment="1">
      <alignment horizontal="left"/>
    </xf>
    <xf numFmtId="166" fontId="0" fillId="0" borderId="0" xfId="0" applyNumberFormat="1"/>
    <xf numFmtId="43" fontId="0" fillId="0" borderId="0" xfId="0" applyNumberFormat="1"/>
    <xf numFmtId="177" fontId="69" fillId="0" borderId="0" xfId="50" applyNumberFormat="1" applyFont="1" applyAlignment="1">
      <alignment horizontal="left"/>
    </xf>
    <xf numFmtId="17" fontId="0" fillId="0" borderId="0" xfId="0" applyNumberFormat="1"/>
    <xf numFmtId="0" fontId="101" fillId="0" borderId="1" xfId="0" applyFont="1" applyBorder="1"/>
    <xf numFmtId="0" fontId="101" fillId="0" borderId="14" xfId="0" applyFont="1" applyBorder="1"/>
    <xf numFmtId="0" fontId="101" fillId="0" borderId="0" xfId="0" applyFont="1"/>
    <xf numFmtId="0" fontId="101" fillId="0" borderId="15" xfId="0" applyFont="1" applyBorder="1"/>
    <xf numFmtId="0" fontId="0" fillId="0" borderId="0" xfId="0" applyBorder="1"/>
    <xf numFmtId="0" fontId="0" fillId="0" borderId="15" xfId="0" applyBorder="1"/>
    <xf numFmtId="0" fontId="54" fillId="11" borderId="0" xfId="0" applyFont="1" applyFill="1" applyAlignment="1">
      <alignment horizontal="center"/>
    </xf>
    <xf numFmtId="0" fontId="52" fillId="11" borderId="17" xfId="0" applyFont="1" applyFill="1" applyBorder="1"/>
    <xf numFmtId="0" fontId="0" fillId="0" borderId="1" xfId="0" applyBorder="1"/>
    <xf numFmtId="0" fontId="0" fillId="0" borderId="14" xfId="0" applyBorder="1"/>
    <xf numFmtId="0" fontId="0" fillId="0" borderId="3" xfId="0" applyBorder="1"/>
    <xf numFmtId="0" fontId="0" fillId="0" borderId="16" xfId="0" applyBorder="1"/>
    <xf numFmtId="0" fontId="0" fillId="0" borderId="13" xfId="0" applyBorder="1" applyAlignment="1">
      <alignment horizontal="left" vertical="center" wrapText="1"/>
    </xf>
    <xf numFmtId="0" fontId="0" fillId="0" borderId="1" xfId="0" applyBorder="1" applyAlignment="1">
      <alignment horizontal="left" vertical="center"/>
    </xf>
    <xf numFmtId="0" fontId="0" fillId="0" borderId="14" xfId="0" applyBorder="1" applyAlignment="1">
      <alignment horizontal="left" vertical="center"/>
    </xf>
    <xf numFmtId="0" fontId="0" fillId="0" borderId="10" xfId="0" applyBorder="1" applyAlignment="1">
      <alignment horizontal="left" vertical="center"/>
    </xf>
    <xf numFmtId="0" fontId="0" fillId="0" borderId="0" xfId="0" applyBorder="1" applyAlignment="1">
      <alignment horizontal="left" vertical="center"/>
    </xf>
    <xf numFmtId="0" fontId="0" fillId="0" borderId="15" xfId="0" applyBorder="1" applyAlignment="1">
      <alignment horizontal="left" vertical="center"/>
    </xf>
    <xf numFmtId="0" fontId="0" fillId="0" borderId="11" xfId="0" applyBorder="1" applyAlignment="1">
      <alignment horizontal="left" vertical="center"/>
    </xf>
    <xf numFmtId="0" fontId="0" fillId="0" borderId="3" xfId="0" applyBorder="1" applyAlignment="1">
      <alignment horizontal="left" vertical="center"/>
    </xf>
    <xf numFmtId="0" fontId="0" fillId="0" borderId="16" xfId="0" applyBorder="1" applyAlignment="1">
      <alignment horizontal="left" vertical="center"/>
    </xf>
    <xf numFmtId="0" fontId="0" fillId="0" borderId="0" xfId="0" applyFill="1"/>
    <xf numFmtId="0" fontId="0" fillId="0" borderId="0" xfId="0"/>
    <xf numFmtId="0" fontId="46" fillId="10" borderId="0" xfId="65" applyFont="1" applyFill="1" applyBorder="1" applyAlignment="1">
      <alignment horizontal="center"/>
    </xf>
    <xf numFmtId="0" fontId="45" fillId="10" borderId="0" xfId="65" applyFont="1" applyFill="1" applyBorder="1" applyAlignment="1">
      <alignment horizontal="center" wrapText="1"/>
    </xf>
    <xf numFmtId="0" fontId="45" fillId="10" borderId="2" xfId="65" applyFont="1" applyFill="1" applyBorder="1" applyAlignment="1">
      <alignment horizontal="center" wrapText="1"/>
    </xf>
    <xf numFmtId="0" fontId="27" fillId="9" borderId="0" xfId="0" applyFont="1" applyFill="1" applyAlignment="1">
      <alignment horizontal="center"/>
    </xf>
  </cellXfs>
  <cellStyles count="68">
    <cellStyle name="_x000a_386grabber=M" xfId="5"/>
    <cellStyle name="ChartingText" xfId="10"/>
    <cellStyle name="CHPAboveAverage" xfId="54"/>
    <cellStyle name="CHPBelowAverage" xfId="55"/>
    <cellStyle name="CHPBottom" xfId="56"/>
    <cellStyle name="CHPTop" xfId="57"/>
    <cellStyle name="ColumnHeaderNormal" xfId="11"/>
    <cellStyle name="Comma" xfId="64" builtinId="3"/>
    <cellStyle name="Comma 2" xfId="3"/>
    <cellStyle name="Comma 3" xfId="48"/>
    <cellStyle name="Hyperlink" xfId="66" builtinId="8"/>
    <cellStyle name="Invisible" xfId="12"/>
    <cellStyle name="Invisible 2" xfId="59"/>
    <cellStyle name="Invisible 3" xfId="63"/>
    <cellStyle name="NewColumnHeaderNormal" xfId="13"/>
    <cellStyle name="NewSectionHeaderNormal" xfId="14"/>
    <cellStyle name="NewTitleNormal" xfId="15"/>
    <cellStyle name="Normal" xfId="0" builtinId="0"/>
    <cellStyle name="Normal 10" xfId="8"/>
    <cellStyle name="Normal 11" xfId="9"/>
    <cellStyle name="Normal 12" xfId="16"/>
    <cellStyle name="Normal 13" xfId="67"/>
    <cellStyle name="Normal 15" xfId="17"/>
    <cellStyle name="Normal 16" xfId="18"/>
    <cellStyle name="Normal 18" xfId="19"/>
    <cellStyle name="Normal 19" xfId="20"/>
    <cellStyle name="Normal 2" xfId="2"/>
    <cellStyle name="Normal 2 2" xfId="50"/>
    <cellStyle name="Normal 2_Consolidated Trading Comps_3 Comps_Feb 29, 2012_ALedits" xfId="60"/>
    <cellStyle name="Normal 3" xfId="6"/>
    <cellStyle name="Normal 4" xfId="7"/>
    <cellStyle name="Normal 5" xfId="21"/>
    <cellStyle name="Normal 6" xfId="22"/>
    <cellStyle name="Normal 7" xfId="53"/>
    <cellStyle name="Normal 8" xfId="58"/>
    <cellStyle name="Normal 9" xfId="62"/>
    <cellStyle name="Normal_ACE-OUT" xfId="52"/>
    <cellStyle name="Normal_BV2 - Potential Buyers" xfId="65"/>
    <cellStyle name="Percent" xfId="1" builtinId="5"/>
    <cellStyle name="Percent 2" xfId="4"/>
    <cellStyle name="Percent 2 10" xfId="23"/>
    <cellStyle name="Percent 2 11" xfId="24"/>
    <cellStyle name="Percent 2 12" xfId="25"/>
    <cellStyle name="Percent 2 13" xfId="26"/>
    <cellStyle name="Percent 2 14" xfId="27"/>
    <cellStyle name="Percent 2 15" xfId="28"/>
    <cellStyle name="Percent 2 16" xfId="29"/>
    <cellStyle name="Percent 2 17" xfId="30"/>
    <cellStyle name="Percent 2 18" xfId="31"/>
    <cellStyle name="Percent 2 19" xfId="32"/>
    <cellStyle name="Percent 2 2" xfId="33"/>
    <cellStyle name="Percent 2 2 2" xfId="51"/>
    <cellStyle name="Percent 2 20" xfId="49"/>
    <cellStyle name="Percent 2 3" xfId="34"/>
    <cellStyle name="Percent 2 4" xfId="35"/>
    <cellStyle name="Percent 2 5" xfId="36"/>
    <cellStyle name="Percent 2 6" xfId="37"/>
    <cellStyle name="Percent 2 7" xfId="38"/>
    <cellStyle name="Percent 2 8" xfId="39"/>
    <cellStyle name="Percent 2 9" xfId="40"/>
    <cellStyle name="SectionHeaderNormal" xfId="41"/>
    <cellStyle name="SubScript" xfId="42"/>
    <cellStyle name="SuperScript" xfId="43"/>
    <cellStyle name="TextBold" xfId="44"/>
    <cellStyle name="TextItalic" xfId="45"/>
    <cellStyle name="TextNormal" xfId="46"/>
    <cellStyle name="TitleNormal" xfId="47"/>
    <cellStyle name="TTS" xfId="61"/>
  </cellStyles>
  <dxfs count="0"/>
  <tableStyles count="0" defaultTableStyle="TableStyleMedium2" defaultPivotStyle="PivotStyleLight16"/>
  <colors>
    <mruColors>
      <color rgb="FFFFC901"/>
      <color rgb="FFFFFF99"/>
      <color rgb="FF0000FF"/>
      <color rgb="FFB7E9C3"/>
      <color rgb="FFFFFF66"/>
      <color rgb="FF00924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Dashboard!$A$34</c:f>
              <c:strCache>
                <c:ptCount val="1"/>
                <c:pt idx="0">
                  <c:v>Profit After Tax</c:v>
                </c:pt>
              </c:strCache>
            </c:strRef>
          </c:tx>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Dashboard!$B$24:$F$24</c:f>
              <c:strCache>
                <c:ptCount val="5"/>
                <c:pt idx="0">
                  <c:v>FY2022 E</c:v>
                </c:pt>
                <c:pt idx="1">
                  <c:v>FY2023 E</c:v>
                </c:pt>
                <c:pt idx="2">
                  <c:v>FY2024 E</c:v>
                </c:pt>
                <c:pt idx="3">
                  <c:v>FY2025 E</c:v>
                </c:pt>
                <c:pt idx="4">
                  <c:v>FY2026 E</c:v>
                </c:pt>
              </c:strCache>
            </c:strRef>
          </c:cat>
          <c:val>
            <c:numRef>
              <c:f>Dashboard!$B$34:$F$34</c:f>
              <c:numCache>
                <c:formatCode>_(* #,##0.00_);_(* \(#,##0.00\);_(* "-"??_);_(@_)</c:formatCode>
                <c:ptCount val="5"/>
                <c:pt idx="0">
                  <c:v>1782.876471153847</c:v>
                </c:pt>
                <c:pt idx="1">
                  <c:v>1988.2257737783416</c:v>
                </c:pt>
                <c:pt idx="2">
                  <c:v>2204.636978113148</c:v>
                </c:pt>
                <c:pt idx="3">
                  <c:v>2333.444953544516</c:v>
                </c:pt>
                <c:pt idx="4">
                  <c:v>2554.1869904906812</c:v>
                </c:pt>
              </c:numCache>
            </c:numRef>
          </c:val>
          <c:extLst>
            <c:ext xmlns:c16="http://schemas.microsoft.com/office/drawing/2014/chart" uri="{C3380CC4-5D6E-409C-BE32-E72D297353CC}">
              <c16:uniqueId val="{00000000-E585-43DF-A38C-60312A247DAB}"/>
            </c:ext>
          </c:extLst>
        </c:ser>
        <c:dLbls>
          <c:showLegendKey val="0"/>
          <c:showVal val="0"/>
          <c:showCatName val="0"/>
          <c:showSerName val="0"/>
          <c:showPercent val="0"/>
          <c:showBubbleSize val="0"/>
        </c:dLbls>
        <c:gapWidth val="219"/>
        <c:overlap val="-27"/>
        <c:axId val="1233739551"/>
        <c:axId val="1233737887"/>
      </c:barChart>
      <c:scatterChart>
        <c:scatterStyle val="lineMarker"/>
        <c:varyColors val="0"/>
        <c:ser>
          <c:idx val="1"/>
          <c:order val="1"/>
          <c:tx>
            <c:strRef>
              <c:f>Dashboard!$A$36</c:f>
              <c:strCache>
                <c:ptCount val="1"/>
                <c:pt idx="0">
                  <c:v>Cash</c:v>
                </c:pt>
              </c:strCache>
            </c:strRef>
          </c:tx>
          <c:spPr>
            <a:ln w="28575" cap="rnd">
              <a:solidFill>
                <a:schemeClr val="accent5"/>
              </a:solidFill>
              <a:round/>
            </a:ln>
            <a:effectLst/>
          </c:spPr>
          <c:marker>
            <c:symbol val="circle"/>
            <c:size val="18"/>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w="9525">
                <a:solidFill>
                  <a:schemeClr val="accent1">
                    <a:alpha val="8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Dashboard!$B$24:$F$24</c:f>
              <c:strCache>
                <c:ptCount val="5"/>
                <c:pt idx="0">
                  <c:v>FY2022 E</c:v>
                </c:pt>
                <c:pt idx="1">
                  <c:v>FY2023 E</c:v>
                </c:pt>
                <c:pt idx="2">
                  <c:v>FY2024 E</c:v>
                </c:pt>
                <c:pt idx="3">
                  <c:v>FY2025 E</c:v>
                </c:pt>
                <c:pt idx="4">
                  <c:v>FY2026 E</c:v>
                </c:pt>
              </c:strCache>
            </c:strRef>
          </c:xVal>
          <c:yVal>
            <c:numRef>
              <c:f>Dashboard!$B$36:$F$36</c:f>
              <c:numCache>
                <c:formatCode>0</c:formatCode>
                <c:ptCount val="5"/>
                <c:pt idx="0">
                  <c:v>1480.3767970060408</c:v>
                </c:pt>
                <c:pt idx="1">
                  <c:v>2931.1837034372902</c:v>
                </c:pt>
                <c:pt idx="2">
                  <c:v>4469.8026531552114</c:v>
                </c:pt>
                <c:pt idx="3">
                  <c:v>6149.6657661167555</c:v>
                </c:pt>
                <c:pt idx="4">
                  <c:v>7972.5670258921036</c:v>
                </c:pt>
              </c:numCache>
            </c:numRef>
          </c:yVal>
          <c:smooth val="0"/>
          <c:extLst>
            <c:ext xmlns:c16="http://schemas.microsoft.com/office/drawing/2014/chart" uri="{C3380CC4-5D6E-409C-BE32-E72D297353CC}">
              <c16:uniqueId val="{00000001-E585-43DF-A38C-60312A247DAB}"/>
            </c:ext>
          </c:extLst>
        </c:ser>
        <c:dLbls>
          <c:showLegendKey val="0"/>
          <c:showVal val="0"/>
          <c:showCatName val="0"/>
          <c:showSerName val="0"/>
          <c:showPercent val="0"/>
          <c:showBubbleSize val="0"/>
        </c:dLbls>
        <c:axId val="1233739551"/>
        <c:axId val="1233737887"/>
      </c:scatterChart>
      <c:catAx>
        <c:axId val="12337395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737887"/>
        <c:crosses val="autoZero"/>
        <c:auto val="1"/>
        <c:lblAlgn val="ctr"/>
        <c:lblOffset val="100"/>
        <c:noMultiLvlLbl val="1"/>
      </c:catAx>
      <c:valAx>
        <c:axId val="1233737887"/>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7395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chemeClr val="accent1"/>
            </a:solidFill>
            <a:ln>
              <a:noFill/>
            </a:ln>
            <a:effectLst/>
          </c:spPr>
          <c:invertIfNegative val="0"/>
          <c:dPt>
            <c:idx val="1"/>
            <c:invertIfNegative val="0"/>
            <c:bubble3D val="0"/>
            <c:spPr>
              <a:noFill/>
              <a:ln>
                <a:noFill/>
              </a:ln>
              <a:effectLst/>
            </c:spPr>
            <c:extLst>
              <c:ext xmlns:c16="http://schemas.microsoft.com/office/drawing/2014/chart" uri="{C3380CC4-5D6E-409C-BE32-E72D297353CC}">
                <c16:uniqueId val="{00000004-BA26-43B9-9BA3-7DA1D5A7B968}"/>
              </c:ext>
            </c:extLst>
          </c:dPt>
          <c:cat>
            <c:strRef>
              <c:f>Dashboard!$A$44:$A$47</c:f>
              <c:strCache>
                <c:ptCount val="4"/>
                <c:pt idx="0">
                  <c:v>Net Debt</c:v>
                </c:pt>
                <c:pt idx="1">
                  <c:v>Market Capitalisation</c:v>
                </c:pt>
                <c:pt idx="2">
                  <c:v>Cash and Cash Equivalent</c:v>
                </c:pt>
                <c:pt idx="3">
                  <c:v>Enterprise Value (EV)</c:v>
                </c:pt>
              </c:strCache>
            </c:strRef>
          </c:cat>
          <c:val>
            <c:numRef>
              <c:f>Dashboard!$B$44:$B$47</c:f>
              <c:numCache>
                <c:formatCode>#,##0</c:formatCode>
                <c:ptCount val="4"/>
              </c:numCache>
            </c:numRef>
          </c:val>
          <c:extLst>
            <c:ext xmlns:c16="http://schemas.microsoft.com/office/drawing/2014/chart" uri="{C3380CC4-5D6E-409C-BE32-E72D297353CC}">
              <c16:uniqueId val="{00000000-BA26-43B9-9BA3-7DA1D5A7B968}"/>
            </c:ext>
          </c:extLst>
        </c:ser>
        <c:ser>
          <c:idx val="1"/>
          <c:order val="1"/>
          <c:spPr>
            <a:solidFill>
              <a:schemeClr val="accent2"/>
            </a:solidFill>
            <a:ln>
              <a:noFill/>
            </a:ln>
            <a:effectLst/>
          </c:spPr>
          <c:invertIfNegative val="0"/>
          <c:cat>
            <c:strRef>
              <c:f>Dashboard!$A$44:$A$47</c:f>
              <c:strCache>
                <c:ptCount val="4"/>
                <c:pt idx="0">
                  <c:v>Net Debt</c:v>
                </c:pt>
                <c:pt idx="1">
                  <c:v>Market Capitalisation</c:v>
                </c:pt>
                <c:pt idx="2">
                  <c:v>Cash and Cash Equivalent</c:v>
                </c:pt>
                <c:pt idx="3">
                  <c:v>Enterprise Value (EV)</c:v>
                </c:pt>
              </c:strCache>
            </c:strRef>
          </c:cat>
          <c:val>
            <c:numRef>
              <c:f>Dashboard!$C$44:$C$47</c:f>
              <c:numCache>
                <c:formatCode>#,##0</c:formatCode>
                <c:ptCount val="4"/>
              </c:numCache>
            </c:numRef>
          </c:val>
          <c:extLst>
            <c:ext xmlns:c16="http://schemas.microsoft.com/office/drawing/2014/chart" uri="{C3380CC4-5D6E-409C-BE32-E72D297353CC}">
              <c16:uniqueId val="{00000001-BA26-43B9-9BA3-7DA1D5A7B968}"/>
            </c:ext>
          </c:extLst>
        </c:ser>
        <c:ser>
          <c:idx val="2"/>
          <c:order val="2"/>
          <c:spPr>
            <a:solidFill>
              <a:schemeClr val="accent3"/>
            </a:solidFill>
            <a:ln>
              <a:noFill/>
            </a:ln>
            <a:effectLst/>
          </c:spPr>
          <c:invertIfNegative val="0"/>
          <c:cat>
            <c:strRef>
              <c:f>Dashboard!$A$44:$A$47</c:f>
              <c:strCache>
                <c:ptCount val="4"/>
                <c:pt idx="0">
                  <c:v>Net Debt</c:v>
                </c:pt>
                <c:pt idx="1">
                  <c:v>Market Capitalisation</c:v>
                </c:pt>
                <c:pt idx="2">
                  <c:v>Cash and Cash Equivalent</c:v>
                </c:pt>
                <c:pt idx="3">
                  <c:v>Enterprise Value (EV)</c:v>
                </c:pt>
              </c:strCache>
            </c:strRef>
          </c:cat>
          <c:val>
            <c:numRef>
              <c:f>Dashboard!$D$44:$D$47</c:f>
              <c:numCache>
                <c:formatCode>General</c:formatCode>
                <c:ptCount val="4"/>
              </c:numCache>
            </c:numRef>
          </c:val>
          <c:extLst>
            <c:ext xmlns:c16="http://schemas.microsoft.com/office/drawing/2014/chart" uri="{C3380CC4-5D6E-409C-BE32-E72D297353CC}">
              <c16:uniqueId val="{00000002-BA26-43B9-9BA3-7DA1D5A7B968}"/>
            </c:ext>
          </c:extLst>
        </c:ser>
        <c:dLbls>
          <c:showLegendKey val="0"/>
          <c:showVal val="0"/>
          <c:showCatName val="0"/>
          <c:showSerName val="0"/>
          <c:showPercent val="0"/>
          <c:showBubbleSize val="0"/>
        </c:dLbls>
        <c:gapWidth val="219"/>
        <c:overlap val="100"/>
        <c:axId val="1232497839"/>
        <c:axId val="1232496175"/>
      </c:barChart>
      <c:catAx>
        <c:axId val="123249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496175"/>
        <c:crosses val="autoZero"/>
        <c:auto val="1"/>
        <c:lblAlgn val="ctr"/>
        <c:lblOffset val="100"/>
        <c:noMultiLvlLbl val="0"/>
      </c:catAx>
      <c:valAx>
        <c:axId val="12324961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49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Dashboard!$A$26</c:f>
              <c:strCache>
                <c:ptCount val="1"/>
                <c:pt idx="0">
                  <c:v>Revenue</c:v>
                </c:pt>
              </c:strCache>
            </c:strRef>
          </c:tx>
          <c:spPr>
            <a:solidFill>
              <a:schemeClr val="accent1"/>
            </a:solidFill>
            <a:ln>
              <a:noFill/>
            </a:ln>
            <a:effectLst/>
          </c:spPr>
          <c:invertIfNegative val="0"/>
          <c:cat>
            <c:strRef>
              <c:f>Dashboard!$B$24:$F$24</c:f>
              <c:strCache>
                <c:ptCount val="5"/>
                <c:pt idx="0">
                  <c:v>FY2022 E</c:v>
                </c:pt>
                <c:pt idx="1">
                  <c:v>FY2023 E</c:v>
                </c:pt>
                <c:pt idx="2">
                  <c:v>FY2024 E</c:v>
                </c:pt>
                <c:pt idx="3">
                  <c:v>FY2025 E</c:v>
                </c:pt>
                <c:pt idx="4">
                  <c:v>FY2026 E</c:v>
                </c:pt>
              </c:strCache>
            </c:strRef>
          </c:cat>
          <c:val>
            <c:numRef>
              <c:f>Dashboard!$B$26:$F$26</c:f>
              <c:numCache>
                <c:formatCode>#,##0.00_ ;\-#,##0.00\ </c:formatCode>
                <c:ptCount val="5"/>
                <c:pt idx="0">
                  <c:v>14318.24</c:v>
                </c:pt>
                <c:pt idx="1">
                  <c:v>15606.881600000001</c:v>
                </c:pt>
                <c:pt idx="2">
                  <c:v>17011.500943999999</c:v>
                </c:pt>
                <c:pt idx="3">
                  <c:v>18542.536028959999</c:v>
                </c:pt>
                <c:pt idx="4">
                  <c:v>20211.364271566399</c:v>
                </c:pt>
              </c:numCache>
            </c:numRef>
          </c:val>
          <c:extLst>
            <c:ext xmlns:c16="http://schemas.microsoft.com/office/drawing/2014/chart" uri="{C3380CC4-5D6E-409C-BE32-E72D297353CC}">
              <c16:uniqueId val="{00000000-D475-41CF-90E2-F4E435B45B25}"/>
            </c:ext>
          </c:extLst>
        </c:ser>
        <c:ser>
          <c:idx val="1"/>
          <c:order val="1"/>
          <c:tx>
            <c:strRef>
              <c:f>Dashboard!$A$31</c:f>
              <c:strCache>
                <c:ptCount val="1"/>
                <c:pt idx="0">
                  <c:v>Net Profit / EBITDA</c:v>
                </c:pt>
              </c:strCache>
            </c:strRef>
          </c:tx>
          <c:spPr>
            <a:solidFill>
              <a:schemeClr val="accent2"/>
            </a:solidFill>
            <a:ln>
              <a:noFill/>
            </a:ln>
            <a:effectLst/>
          </c:spPr>
          <c:invertIfNegative val="0"/>
          <c:cat>
            <c:strRef>
              <c:f>Dashboard!$B$24:$F$24</c:f>
              <c:strCache>
                <c:ptCount val="5"/>
                <c:pt idx="0">
                  <c:v>FY2022 E</c:v>
                </c:pt>
                <c:pt idx="1">
                  <c:v>FY2023 E</c:v>
                </c:pt>
                <c:pt idx="2">
                  <c:v>FY2024 E</c:v>
                </c:pt>
                <c:pt idx="3">
                  <c:v>FY2025 E</c:v>
                </c:pt>
                <c:pt idx="4">
                  <c:v>FY2026 E</c:v>
                </c:pt>
              </c:strCache>
            </c:strRef>
          </c:cat>
          <c:val>
            <c:numRef>
              <c:f>Dashboard!$B$31:$F$31</c:f>
              <c:numCache>
                <c:formatCode>#,##0.00_ ;\-#,##0.00\ </c:formatCode>
                <c:ptCount val="5"/>
                <c:pt idx="0">
                  <c:v>2419.2441881295272</c:v>
                </c:pt>
                <c:pt idx="1">
                  <c:v>2699.4330419861699</c:v>
                </c:pt>
                <c:pt idx="2">
                  <c:v>3022.402941893873</c:v>
                </c:pt>
                <c:pt idx="3">
                  <c:v>3211.5356618524274</c:v>
                </c:pt>
                <c:pt idx="4">
                  <c:v>3529.111626537855</c:v>
                </c:pt>
              </c:numCache>
            </c:numRef>
          </c:val>
          <c:extLst>
            <c:ext xmlns:c16="http://schemas.microsoft.com/office/drawing/2014/chart" uri="{C3380CC4-5D6E-409C-BE32-E72D297353CC}">
              <c16:uniqueId val="{00000001-D475-41CF-90E2-F4E435B45B25}"/>
            </c:ext>
          </c:extLst>
        </c:ser>
        <c:dLbls>
          <c:showLegendKey val="0"/>
          <c:showVal val="0"/>
          <c:showCatName val="0"/>
          <c:showSerName val="0"/>
          <c:showPercent val="0"/>
          <c:showBubbleSize val="0"/>
        </c:dLbls>
        <c:gapWidth val="219"/>
        <c:overlap val="-27"/>
        <c:axId val="503710480"/>
        <c:axId val="503705680"/>
      </c:barChart>
      <c:catAx>
        <c:axId val="50371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705680"/>
        <c:crosses val="autoZero"/>
        <c:auto val="1"/>
        <c:lblAlgn val="ctr"/>
        <c:lblOffset val="100"/>
        <c:noMultiLvlLbl val="0"/>
      </c:catAx>
      <c:valAx>
        <c:axId val="503705680"/>
        <c:scaling>
          <c:orientation val="minMax"/>
        </c:scaling>
        <c:delete val="0"/>
        <c:axPos val="l"/>
        <c:majorGridlines>
          <c:spPr>
            <a:ln w="9525" cap="flat" cmpd="sng" algn="ctr">
              <a:solidFill>
                <a:schemeClr val="tx1">
                  <a:lumMod val="15000"/>
                  <a:lumOff val="85000"/>
                </a:schemeClr>
              </a:solidFill>
              <a:round/>
            </a:ln>
            <a:effectLst/>
          </c:spPr>
        </c:majorGridlines>
        <c:numFmt formatCode="#,##0.00_ ;\-#,##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710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ustomXml" Target="../ink/ink1.xm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99060</xdr:colOff>
      <xdr:row>0</xdr:row>
      <xdr:rowOff>112395</xdr:rowOff>
    </xdr:from>
    <xdr:to>
      <xdr:col>10</xdr:col>
      <xdr:colOff>578118</xdr:colOff>
      <xdr:row>3</xdr:row>
      <xdr:rowOff>55245</xdr:rowOff>
    </xdr:to>
    <xdr:pic>
      <xdr:nvPicPr>
        <xdr:cNvPr id="2" name="Picture 1">
          <a:extLst>
            <a:ext uri="{FF2B5EF4-FFF2-40B4-BE49-F238E27FC236}">
              <a16:creationId xmlns:a16="http://schemas.microsoft.com/office/drawing/2014/main" id="{1B3F8A47-AC6A-4CB0-90BE-8F09742356E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334000" y="112395"/>
          <a:ext cx="479058" cy="811530"/>
        </a:xfrm>
        <a:prstGeom prst="rect">
          <a:avLst/>
        </a:prstGeom>
      </xdr:spPr>
    </xdr:pic>
    <xdr:clientData/>
  </xdr:twoCellAnchor>
  <xdr:twoCellAnchor>
    <xdr:from>
      <xdr:col>13</xdr:col>
      <xdr:colOff>174173</xdr:colOff>
      <xdr:row>6</xdr:row>
      <xdr:rowOff>21770</xdr:rowOff>
    </xdr:from>
    <xdr:to>
      <xdr:col>20</xdr:col>
      <xdr:colOff>370115</xdr:colOff>
      <xdr:row>22</xdr:row>
      <xdr:rowOff>76197</xdr:rowOff>
    </xdr:to>
    <xdr:graphicFrame macro="">
      <xdr:nvGraphicFramePr>
        <xdr:cNvPr id="4" name="Chart 3">
          <a:extLst>
            <a:ext uri="{FF2B5EF4-FFF2-40B4-BE49-F238E27FC236}">
              <a16:creationId xmlns:a16="http://schemas.microsoft.com/office/drawing/2014/main" id="{681CAF82-D1B2-4F29-A7D5-8E9843F310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142874</xdr:colOff>
      <xdr:row>24</xdr:row>
      <xdr:rowOff>142875</xdr:rowOff>
    </xdr:from>
    <xdr:to>
      <xdr:col>13</xdr:col>
      <xdr:colOff>152399</xdr:colOff>
      <xdr:row>42</xdr:row>
      <xdr:rowOff>57149</xdr:rowOff>
    </xdr:to>
    <xdr:graphicFrame macro="">
      <xdr:nvGraphicFramePr>
        <xdr:cNvPr id="5" name="Chart 4">
          <a:extLst>
            <a:ext uri="{FF2B5EF4-FFF2-40B4-BE49-F238E27FC236}">
              <a16:creationId xmlns:a16="http://schemas.microsoft.com/office/drawing/2014/main" id="{32F3B15A-BC99-4C9F-B9A9-6B03837BB8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426720</xdr:colOff>
      <xdr:row>6</xdr:row>
      <xdr:rowOff>60960</xdr:rowOff>
    </xdr:from>
    <xdr:to>
      <xdr:col>12</xdr:col>
      <xdr:colOff>617220</xdr:colOff>
      <xdr:row>21</xdr:row>
      <xdr:rowOff>15240</xdr:rowOff>
    </xdr:to>
    <xdr:graphicFrame macro="">
      <xdr:nvGraphicFramePr>
        <xdr:cNvPr id="8" name="Chart 7">
          <a:extLst>
            <a:ext uri="{FF2B5EF4-FFF2-40B4-BE49-F238E27FC236}">
              <a16:creationId xmlns:a16="http://schemas.microsoft.com/office/drawing/2014/main" id="{AB6BC9EF-986A-40E7-B959-FFEFF58480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99060</xdr:colOff>
      <xdr:row>0</xdr:row>
      <xdr:rowOff>112395</xdr:rowOff>
    </xdr:from>
    <xdr:to>
      <xdr:col>6</xdr:col>
      <xdr:colOff>578118</xdr:colOff>
      <xdr:row>2</xdr:row>
      <xdr:rowOff>163195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166360" y="112395"/>
          <a:ext cx="479058" cy="727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60960</xdr:colOff>
      <xdr:row>0</xdr:row>
      <xdr:rowOff>38100</xdr:rowOff>
    </xdr:from>
    <xdr:to>
      <xdr:col>6</xdr:col>
      <xdr:colOff>540018</xdr:colOff>
      <xdr:row>2</xdr:row>
      <xdr:rowOff>72390</xdr:rowOff>
    </xdr:to>
    <xdr:pic>
      <xdr:nvPicPr>
        <xdr:cNvPr id="2" name="Picture 1">
          <a:extLst>
            <a:ext uri="{FF2B5EF4-FFF2-40B4-BE49-F238E27FC236}">
              <a16:creationId xmlns:a16="http://schemas.microsoft.com/office/drawing/2014/main" id="{C94BC4F1-A7EE-4531-A5D4-491B67A9B4A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62600" y="38100"/>
          <a:ext cx="479058" cy="727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563880</xdr:colOff>
      <xdr:row>0</xdr:row>
      <xdr:rowOff>60961</xdr:rowOff>
    </xdr:from>
    <xdr:to>
      <xdr:col>6</xdr:col>
      <xdr:colOff>501918</xdr:colOff>
      <xdr:row>3</xdr:row>
      <xdr:rowOff>45721</xdr:rowOff>
    </xdr:to>
    <xdr:pic>
      <xdr:nvPicPr>
        <xdr:cNvPr id="2" name="Picture 1">
          <a:extLst>
            <a:ext uri="{FF2B5EF4-FFF2-40B4-BE49-F238E27FC236}">
              <a16:creationId xmlns:a16="http://schemas.microsoft.com/office/drawing/2014/main" id="{BFC8D5CE-5EA3-48C0-87A9-3892ACE0CBE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89420" y="60961"/>
          <a:ext cx="654318" cy="8077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685800</xdr:colOff>
      <xdr:row>0</xdr:row>
      <xdr:rowOff>160867</xdr:rowOff>
    </xdr:from>
    <xdr:to>
      <xdr:col>6</xdr:col>
      <xdr:colOff>491758</xdr:colOff>
      <xdr:row>2</xdr:row>
      <xdr:rowOff>130627</xdr:rowOff>
    </xdr:to>
    <xdr:pic>
      <xdr:nvPicPr>
        <xdr:cNvPr id="2" name="Picture 1">
          <a:extLst>
            <a:ext uri="{FF2B5EF4-FFF2-40B4-BE49-F238E27FC236}">
              <a16:creationId xmlns:a16="http://schemas.microsoft.com/office/drawing/2014/main" id="{6085B746-9453-4C9D-AD94-A73F41E8CA9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717971" y="160867"/>
          <a:ext cx="791116" cy="1003903"/>
        </a:xfrm>
        <a:prstGeom prst="rect">
          <a:avLst/>
        </a:prstGeom>
      </xdr:spPr>
    </xdr:pic>
    <xdr:clientData/>
  </xdr:twoCellAnchor>
  <xdr:twoCellAnchor editAs="oneCell">
    <xdr:from>
      <xdr:col>0</xdr:col>
      <xdr:colOff>2201040</xdr:colOff>
      <xdr:row>38</xdr:row>
      <xdr:rowOff>145540</xdr:rowOff>
    </xdr:from>
    <xdr:to>
      <xdr:col>0</xdr:col>
      <xdr:colOff>2201400</xdr:colOff>
      <xdr:row>38</xdr:row>
      <xdr:rowOff>146980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3" name="Ink 2">
              <a:extLst>
                <a:ext uri="{FF2B5EF4-FFF2-40B4-BE49-F238E27FC236}">
                  <a16:creationId xmlns:a16="http://schemas.microsoft.com/office/drawing/2014/main" id="{B2D02158-1E76-4ECC-844A-4AB9C23BB894}"/>
                </a:ext>
              </a:extLst>
            </xdr14:cNvPr>
            <xdr14:cNvContentPartPr/>
          </xdr14:nvContentPartPr>
          <xdr14:nvPr macro=""/>
          <xdr14:xfrm>
            <a:off x="2201040" y="9207897"/>
            <a:ext cx="360" cy="1440"/>
          </xdr14:xfrm>
        </xdr:contentPart>
      </mc:Choice>
      <mc:Fallback xmlns="">
        <xdr:pic>
          <xdr:nvPicPr>
            <xdr:cNvPr id="3" name="Ink 2">
              <a:extLst>
                <a:ext uri="{FF2B5EF4-FFF2-40B4-BE49-F238E27FC236}">
                  <a16:creationId xmlns:a16="http://schemas.microsoft.com/office/drawing/2014/main" id="{B2D02158-1E76-4ECC-844A-4AB9C23BB894}"/>
                </a:ext>
              </a:extLst>
            </xdr:cNvPr>
            <xdr:cNvPicPr/>
          </xdr:nvPicPr>
          <xdr:blipFill>
            <a:blip xmlns:r="http://schemas.openxmlformats.org/officeDocument/2006/relationships" r:embed="rId3"/>
            <a:stretch>
              <a:fillRect/>
            </a:stretch>
          </xdr:blipFill>
          <xdr:spPr>
            <a:xfrm>
              <a:off x="2192040" y="9199257"/>
              <a:ext cx="18000" cy="19080"/>
            </a:xfrm>
            <a:prstGeom prst="rect">
              <a:avLst/>
            </a:prstGeom>
          </xdr:spPr>
        </xdr:pic>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129540</xdr:colOff>
      <xdr:row>0</xdr:row>
      <xdr:rowOff>91440</xdr:rowOff>
    </xdr:from>
    <xdr:to>
      <xdr:col>6</xdr:col>
      <xdr:colOff>608598</xdr:colOff>
      <xdr:row>2</xdr:row>
      <xdr:rowOff>140970</xdr:rowOff>
    </xdr:to>
    <xdr:pic>
      <xdr:nvPicPr>
        <xdr:cNvPr id="2" name="Picture 1">
          <a:extLst>
            <a:ext uri="{FF2B5EF4-FFF2-40B4-BE49-F238E27FC236}">
              <a16:creationId xmlns:a16="http://schemas.microsoft.com/office/drawing/2014/main" id="{E12BDBF9-0C0D-48DD-8C8A-72D74379BD9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420100" y="91440"/>
          <a:ext cx="479058" cy="72771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0.34\tda$\Documents%20and%20Settings\thamaliw\Local%20Settings\Temporary%20Internet%20Files\OLK5D\Templates\Models\Trash\._financial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0.34\tda$\Documents%20and%20Settings\thamaliw\Local%20Settings\Temporary%20Internet%20Files\OLK5D\Templates\Models\Revised%20input-output%20template%20Y-end%20Dec%20-%20v1%20-%204Q%20200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Britania%20re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_financial2"/>
      <sheetName val="Sheet1"/>
      <sheetName val="Template"/>
      <sheetName val="ACE-IN"/>
    </sheetNames>
    <definedNames>
      <definedName name="cmdOK2_click"/>
    </defined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sheetName val="Input"/>
      <sheetName val="Output"/>
      <sheetName val="GROMM"/>
    </sheetNames>
    <sheetDataSet>
      <sheetData sheetId="0" refreshError="1"/>
      <sheetData sheetId="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shboard"/>
      <sheetName val="Company Overview"/>
      <sheetName val="Assumptions"/>
      <sheetName val="Income Statement"/>
      <sheetName val="Balance Sheet"/>
      <sheetName val="CFS"/>
      <sheetName val="Valuation"/>
      <sheetName val="Comps"/>
      <sheetName val="Comps - Consensus"/>
    </sheetNames>
    <sheetDataSet>
      <sheetData sheetId="0"/>
      <sheetData sheetId="1"/>
      <sheetData sheetId="2">
        <row r="1">
          <cell r="A1" t="str">
            <v>Britannia Ltd.</v>
          </cell>
        </row>
      </sheetData>
      <sheetData sheetId="3"/>
      <sheetData sheetId="4"/>
      <sheetData sheetId="5"/>
      <sheetData sheetId="6"/>
      <sheetData sheetId="7"/>
      <sheetData sheetId="8"/>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4-21T10:29:26.014"/>
    </inkml:context>
    <inkml:brush xml:id="br0">
      <inkml:brushProperty name="width" value="0.05" units="cm"/>
      <inkml:brushProperty name="height" value="0.05" units="cm"/>
    </inkml:brush>
  </inkml:definitions>
  <inkml:trace contextRef="#ctx0" brushRef="#br0">0 4 2948,'0'-3'468</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W64"/>
  <sheetViews>
    <sheetView showGridLines="0" topLeftCell="A36" zoomScaleNormal="100" workbookViewId="0"/>
  </sheetViews>
  <sheetFormatPr defaultColWidth="12.77734375" defaultRowHeight="14.4" x14ac:dyDescent="0.3"/>
  <cols>
    <col min="1" max="1" width="35.21875" customWidth="1"/>
    <col min="7" max="7" width="2.77734375" customWidth="1"/>
    <col min="9" max="9" width="12.77734375" style="84"/>
    <col min="13" max="23" width="12.77734375" customWidth="1"/>
  </cols>
  <sheetData>
    <row r="1" spans="1:20" ht="35.4" customHeight="1" x14ac:dyDescent="0.3">
      <c r="A1" s="51" t="s">
        <v>331</v>
      </c>
      <c r="B1" s="53"/>
      <c r="C1" s="53"/>
      <c r="D1" s="53"/>
      <c r="E1" s="53"/>
      <c r="F1" s="53"/>
      <c r="G1" s="53"/>
      <c r="H1" s="53"/>
      <c r="I1" s="53"/>
      <c r="J1" s="53"/>
      <c r="K1" s="53"/>
      <c r="L1" s="53"/>
      <c r="M1" s="53"/>
    </row>
    <row r="2" spans="1:20" ht="18.600000000000001" customHeight="1" x14ac:dyDescent="0.3">
      <c r="A2" s="52" t="s">
        <v>30</v>
      </c>
      <c r="B2" s="57"/>
      <c r="C2" s="57"/>
      <c r="D2" s="57"/>
      <c r="E2" s="57"/>
      <c r="F2" s="57"/>
      <c r="G2" s="57"/>
      <c r="H2" s="57"/>
      <c r="I2" s="57"/>
      <c r="J2" s="57"/>
      <c r="K2" s="57"/>
      <c r="L2" s="57"/>
      <c r="M2" s="57"/>
    </row>
    <row r="3" spans="1:20" x14ac:dyDescent="0.3">
      <c r="A3" s="2" t="s">
        <v>65</v>
      </c>
      <c r="B3" s="1"/>
      <c r="C3" s="1"/>
      <c r="D3" s="1"/>
      <c r="E3" s="1"/>
      <c r="F3" s="1"/>
      <c r="G3" s="1"/>
      <c r="H3" s="1"/>
      <c r="I3" s="1"/>
      <c r="J3" s="1"/>
      <c r="K3" s="1"/>
      <c r="L3" s="1"/>
      <c r="M3" s="1"/>
    </row>
    <row r="5" spans="1:20" ht="18" x14ac:dyDescent="0.35">
      <c r="A5" s="380" t="s">
        <v>180</v>
      </c>
      <c r="B5" s="380"/>
      <c r="C5" s="380"/>
      <c r="D5" s="380"/>
      <c r="E5" s="85"/>
      <c r="F5" s="85"/>
      <c r="G5" s="85"/>
      <c r="H5" s="379" t="s">
        <v>178</v>
      </c>
      <c r="I5" s="379"/>
      <c r="J5" s="379"/>
      <c r="K5" s="379"/>
      <c r="L5" s="379"/>
      <c r="M5" s="379"/>
      <c r="O5" s="379" t="s">
        <v>179</v>
      </c>
      <c r="P5" s="379"/>
      <c r="Q5" s="379"/>
      <c r="R5" s="379"/>
      <c r="S5" s="379"/>
      <c r="T5" s="379"/>
    </row>
    <row r="6" spans="1:20" x14ac:dyDescent="0.3">
      <c r="A6" s="89" t="s">
        <v>35</v>
      </c>
      <c r="B6" s="381" t="s">
        <v>218</v>
      </c>
      <c r="C6" s="381"/>
      <c r="D6" s="382"/>
      <c r="I6" s="75"/>
    </row>
    <row r="7" spans="1:20" x14ac:dyDescent="0.3">
      <c r="A7" s="87" t="s">
        <v>36</v>
      </c>
      <c r="B7" s="373" t="s">
        <v>332</v>
      </c>
      <c r="C7" s="373"/>
      <c r="D7" s="374"/>
      <c r="I7" s="76"/>
      <c r="K7" s="62"/>
      <c r="L7" s="62"/>
    </row>
    <row r="8" spans="1:20" x14ac:dyDescent="0.3">
      <c r="A8" s="87" t="s">
        <v>11</v>
      </c>
      <c r="B8" s="375">
        <v>3270</v>
      </c>
      <c r="C8" s="375"/>
      <c r="D8" s="376"/>
      <c r="I8" s="77"/>
    </row>
    <row r="9" spans="1:20" x14ac:dyDescent="0.3">
      <c r="A9" s="87" t="s">
        <v>181</v>
      </c>
      <c r="B9" s="377">
        <f>B8*'Income Statement'!D46</f>
        <v>78741.599999999991</v>
      </c>
      <c r="C9" s="377"/>
      <c r="D9" s="378"/>
      <c r="I9" s="78"/>
    </row>
    <row r="10" spans="1:20" x14ac:dyDescent="0.3">
      <c r="A10" s="88" t="s">
        <v>37</v>
      </c>
      <c r="B10" s="383" t="s">
        <v>219</v>
      </c>
      <c r="C10" s="383"/>
      <c r="D10" s="384"/>
      <c r="I10" s="79"/>
    </row>
    <row r="11" spans="1:20" x14ac:dyDescent="0.3">
      <c r="A11" s="86"/>
      <c r="B11" s="86"/>
      <c r="C11" s="86"/>
      <c r="D11" s="86"/>
      <c r="E11" s="86"/>
      <c r="F11" s="86"/>
      <c r="G11" s="86"/>
      <c r="I11" s="79"/>
    </row>
    <row r="12" spans="1:20" ht="18" customHeight="1" x14ac:dyDescent="0.3">
      <c r="A12" s="380" t="s">
        <v>63</v>
      </c>
      <c r="B12" s="380"/>
      <c r="C12" s="380"/>
      <c r="D12" s="380"/>
      <c r="E12" s="86"/>
      <c r="F12" s="86"/>
      <c r="G12" s="86"/>
      <c r="I12" s="80"/>
    </row>
    <row r="13" spans="1:20" x14ac:dyDescent="0.3">
      <c r="A13" s="385" t="s">
        <v>333</v>
      </c>
      <c r="B13" s="386"/>
      <c r="C13" s="386"/>
      <c r="D13" s="387"/>
      <c r="E13" s="86"/>
      <c r="F13" s="86"/>
      <c r="G13" s="86"/>
      <c r="I13" s="79"/>
    </row>
    <row r="14" spans="1:20" x14ac:dyDescent="0.3">
      <c r="A14" s="388"/>
      <c r="B14" s="389"/>
      <c r="C14" s="389"/>
      <c r="D14" s="390"/>
      <c r="E14" s="86"/>
      <c r="F14" s="86"/>
      <c r="G14" s="86"/>
      <c r="I14" s="81"/>
    </row>
    <row r="15" spans="1:20" x14ac:dyDescent="0.3">
      <c r="A15" s="388"/>
      <c r="B15" s="389"/>
      <c r="C15" s="389"/>
      <c r="D15" s="390"/>
      <c r="E15" s="86"/>
      <c r="F15" s="86"/>
      <c r="G15" s="86"/>
      <c r="I15" s="82"/>
    </row>
    <row r="16" spans="1:20" x14ac:dyDescent="0.3">
      <c r="A16" s="388"/>
      <c r="B16" s="389"/>
      <c r="C16" s="389"/>
      <c r="D16" s="390"/>
      <c r="I16" s="79"/>
    </row>
    <row r="17" spans="1:23" x14ac:dyDescent="0.3">
      <c r="A17" s="388"/>
      <c r="B17" s="389"/>
      <c r="C17" s="389"/>
      <c r="D17" s="390"/>
      <c r="I17" s="79"/>
    </row>
    <row r="18" spans="1:23" x14ac:dyDescent="0.3">
      <c r="A18" s="388"/>
      <c r="B18" s="389"/>
      <c r="C18" s="389"/>
      <c r="D18" s="390"/>
      <c r="I18" s="83"/>
    </row>
    <row r="19" spans="1:23" x14ac:dyDescent="0.3">
      <c r="A19" s="388"/>
      <c r="B19" s="389"/>
      <c r="C19" s="389"/>
      <c r="D19" s="390"/>
    </row>
    <row r="20" spans="1:23" x14ac:dyDescent="0.3">
      <c r="A20" s="391"/>
      <c r="B20" s="392"/>
      <c r="C20" s="392"/>
      <c r="D20" s="393"/>
    </row>
    <row r="22" spans="1:23" x14ac:dyDescent="0.3">
      <c r="G22" s="97"/>
    </row>
    <row r="23" spans="1:23" x14ac:dyDescent="0.3">
      <c r="G23" s="62"/>
    </row>
    <row r="24" spans="1:23" ht="18" x14ac:dyDescent="0.35">
      <c r="A24" s="98" t="s">
        <v>168</v>
      </c>
      <c r="B24" s="99" t="str">
        <f>Assumptions!E5</f>
        <v>FY2022 E</v>
      </c>
      <c r="C24" s="99" t="str">
        <f>Assumptions!F5</f>
        <v>FY2023 E</v>
      </c>
      <c r="D24" s="99" t="str">
        <f>Assumptions!G5</f>
        <v>FY2024 E</v>
      </c>
      <c r="E24" s="99" t="str">
        <f>Assumptions!H5</f>
        <v>FY2025 E</v>
      </c>
      <c r="F24" s="99" t="str">
        <f>Assumptions!I5</f>
        <v>FY2026 E</v>
      </c>
      <c r="G24" s="65"/>
      <c r="H24" s="379" t="s">
        <v>182</v>
      </c>
      <c r="I24" s="379"/>
      <c r="J24" s="379"/>
      <c r="K24" s="379"/>
      <c r="L24" s="379"/>
      <c r="M24" s="379"/>
      <c r="N24" s="90"/>
      <c r="O24" s="90"/>
      <c r="P24" s="91"/>
      <c r="Q24" s="91"/>
      <c r="R24" s="91"/>
      <c r="S24" s="91"/>
      <c r="T24" s="91"/>
      <c r="U24" s="91"/>
      <c r="V24" s="91"/>
      <c r="W24" s="91"/>
    </row>
    <row r="25" spans="1:23" x14ac:dyDescent="0.3">
      <c r="B25" s="62"/>
      <c r="C25" s="62"/>
      <c r="D25" s="62"/>
      <c r="E25" s="62"/>
      <c r="F25" s="62"/>
      <c r="G25" s="73"/>
      <c r="J25" s="394"/>
      <c r="K25" s="394"/>
      <c r="L25" s="394"/>
      <c r="M25" s="84"/>
      <c r="N25" s="84"/>
      <c r="O25" s="84"/>
      <c r="P25" s="84"/>
      <c r="Q25" s="84"/>
      <c r="R25" s="84"/>
      <c r="S25" s="84"/>
      <c r="T25" s="84"/>
      <c r="U25" s="84"/>
      <c r="V25" s="84"/>
      <c r="W25" s="84"/>
    </row>
    <row r="26" spans="1:23" x14ac:dyDescent="0.3">
      <c r="A26" t="s">
        <v>7</v>
      </c>
      <c r="B26" s="299">
        <f>'Income Statement'!E7</f>
        <v>14318.24</v>
      </c>
      <c r="C26" s="299">
        <f>'Income Statement'!F7</f>
        <v>15606.881600000001</v>
      </c>
      <c r="D26" s="299">
        <f>'Income Statement'!G7</f>
        <v>17011.500943999999</v>
      </c>
      <c r="E26" s="299">
        <f>'Income Statement'!H7</f>
        <v>18542.536028959999</v>
      </c>
      <c r="F26" s="299">
        <f>'Income Statement'!I7</f>
        <v>20211.364271566399</v>
      </c>
      <c r="G26" s="68"/>
      <c r="J26" s="394"/>
      <c r="K26" s="394"/>
      <c r="L26" s="394"/>
      <c r="M26" s="84"/>
      <c r="N26" s="84"/>
      <c r="O26" s="84"/>
      <c r="P26" s="84"/>
      <c r="Q26" s="84"/>
      <c r="R26" s="84"/>
      <c r="S26" s="84"/>
      <c r="T26" s="84"/>
      <c r="U26" s="84"/>
      <c r="V26" s="84"/>
      <c r="W26" s="84"/>
    </row>
    <row r="27" spans="1:23" x14ac:dyDescent="0.3">
      <c r="A27" t="s">
        <v>169</v>
      </c>
      <c r="B27" s="65">
        <f>'Income Statement'!E13</f>
        <v>-8454.1093440735003</v>
      </c>
      <c r="C27" s="65">
        <f>'Income Statement'!F13</f>
        <v>-9198.8652514363948</v>
      </c>
      <c r="D27" s="65">
        <f>'Income Statement'!G13</f>
        <v>-9982.3271965864642</v>
      </c>
      <c r="E27" s="65">
        <f>'Income Statement'!H13</f>
        <v>-10919.408406418996</v>
      </c>
      <c r="F27" s="65">
        <f>'Income Statement'!I13</f>
        <v>-11891.651790987835</v>
      </c>
      <c r="G27" s="66"/>
      <c r="J27" s="394"/>
      <c r="K27" s="394"/>
      <c r="L27" s="394"/>
      <c r="M27" s="84"/>
      <c r="N27" s="84"/>
      <c r="O27" s="84"/>
      <c r="P27" s="84"/>
      <c r="Q27" s="84"/>
      <c r="R27" s="84"/>
      <c r="S27" s="84"/>
      <c r="T27" s="84"/>
      <c r="U27" s="84"/>
      <c r="V27" s="84"/>
      <c r="W27" s="84"/>
    </row>
    <row r="28" spans="1:23" x14ac:dyDescent="0.3">
      <c r="A28" s="69" t="s">
        <v>170</v>
      </c>
      <c r="B28" s="68">
        <f>'Income Statement'!E14</f>
        <v>5864.1306559264995</v>
      </c>
      <c r="C28" s="68">
        <f>'Income Statement'!F14</f>
        <v>6408.0163485636058</v>
      </c>
      <c r="D28" s="68">
        <f>'Income Statement'!G14</f>
        <v>7029.1737474135352</v>
      </c>
      <c r="E28" s="68">
        <f>'Income Statement'!H14</f>
        <v>7623.1276225410038</v>
      </c>
      <c r="F28" s="68">
        <f>'Income Statement'!I14</f>
        <v>8319.7124805785643</v>
      </c>
      <c r="G28" s="66"/>
      <c r="J28" s="394"/>
      <c r="K28" s="394"/>
      <c r="L28" s="394"/>
      <c r="M28" s="84"/>
      <c r="N28" s="84"/>
      <c r="O28" s="84"/>
      <c r="P28" s="84"/>
      <c r="Q28" s="84"/>
      <c r="R28" s="84"/>
      <c r="S28" s="84"/>
      <c r="T28" s="84"/>
      <c r="U28" s="84"/>
      <c r="V28" s="84"/>
      <c r="W28" s="84"/>
    </row>
    <row r="29" spans="1:23" x14ac:dyDescent="0.3">
      <c r="A29" t="s">
        <v>176</v>
      </c>
      <c r="B29" s="68">
        <f>'Income Statement'!E63</f>
        <v>0.40955666729475826</v>
      </c>
      <c r="C29" s="68">
        <f>'Income Statement'!F63</f>
        <v>0.4105891562965151</v>
      </c>
      <c r="D29" s="68">
        <f>'Income Statement'!G63</f>
        <v>0.41320126722226369</v>
      </c>
      <c r="E29" s="68">
        <f>'Income Statement'!H63</f>
        <v>0.41111569693784566</v>
      </c>
      <c r="F29" s="68">
        <f>'Income Statement'!I63</f>
        <v>0.41163537348554152</v>
      </c>
      <c r="G29" s="71"/>
      <c r="J29" s="395"/>
      <c r="K29" s="395"/>
      <c r="L29" s="395"/>
    </row>
    <row r="30" spans="1:23" x14ac:dyDescent="0.3">
      <c r="B30" s="68"/>
      <c r="C30" s="68"/>
      <c r="D30" s="68"/>
      <c r="E30" s="68"/>
      <c r="F30" s="68"/>
      <c r="G30" s="66"/>
      <c r="J30" s="395"/>
      <c r="K30" s="395"/>
      <c r="L30" s="395"/>
    </row>
    <row r="31" spans="1:23" x14ac:dyDescent="0.3">
      <c r="A31" s="63" t="s">
        <v>175</v>
      </c>
      <c r="B31" s="300">
        <f>'Income Statement'!E23</f>
        <v>2419.2441881295272</v>
      </c>
      <c r="C31" s="300">
        <f>'Income Statement'!F23</f>
        <v>2699.4330419861699</v>
      </c>
      <c r="D31" s="300">
        <f>'Income Statement'!G23</f>
        <v>3022.402941893873</v>
      </c>
      <c r="E31" s="300">
        <f>'Income Statement'!H23</f>
        <v>3211.5356618524274</v>
      </c>
      <c r="F31" s="300">
        <f>'Income Statement'!I23</f>
        <v>3529.111626537855</v>
      </c>
      <c r="G31" s="67"/>
    </row>
    <row r="32" spans="1:23" x14ac:dyDescent="0.3">
      <c r="A32" t="s">
        <v>174</v>
      </c>
      <c r="B32" s="68">
        <f>'Income Statement'!E83</f>
        <v>0.12451785073820854</v>
      </c>
      <c r="C32" s="68">
        <f>'Income Statement'!F83</f>
        <v>0.12739417295113853</v>
      </c>
      <c r="D32" s="68">
        <f>'Income Statement'!G83</f>
        <v>0.12959685246884281</v>
      </c>
      <c r="E32" s="68">
        <f>'Income Statement'!H83</f>
        <v>0.12584281620918025</v>
      </c>
      <c r="F32" s="68">
        <f>'Income Statement'!I83</f>
        <v>0.1263738041713465</v>
      </c>
      <c r="G32" s="74"/>
    </row>
    <row r="33" spans="1:12" x14ac:dyDescent="0.3">
      <c r="A33" t="s">
        <v>171</v>
      </c>
      <c r="B33" s="68">
        <f>SUM('Income Statement'!E32:E34)</f>
        <v>-607.27005279876801</v>
      </c>
      <c r="C33" s="68">
        <f>SUM('Income Statement'!F32:F34)</f>
        <v>-677.2145968345427</v>
      </c>
      <c r="D33" s="68">
        <f>SUM('Income Statement'!G32:G34)</f>
        <v>-763.67628907315986</v>
      </c>
      <c r="E33" s="68">
        <f>SUM('Income Statement'!H32:H34)</f>
        <v>-799.2857466360706</v>
      </c>
      <c r="F33" s="68">
        <f>SUM('Income Statement'!I32:I34)</f>
        <v>-876.53716190679768</v>
      </c>
      <c r="G33" s="66"/>
      <c r="J33" s="395"/>
      <c r="K33" s="395"/>
      <c r="L33" s="395"/>
    </row>
    <row r="34" spans="1:12" x14ac:dyDescent="0.3">
      <c r="A34" s="69" t="s">
        <v>172</v>
      </c>
      <c r="B34" s="70">
        <f>'Income Statement'!E41</f>
        <v>1782.876471153847</v>
      </c>
      <c r="C34" s="70">
        <f>'Income Statement'!F41</f>
        <v>1988.2257737783416</v>
      </c>
      <c r="D34" s="70">
        <f>'Income Statement'!G41</f>
        <v>2204.636978113148</v>
      </c>
      <c r="E34" s="70">
        <f>'Income Statement'!H41</f>
        <v>2333.444953544516</v>
      </c>
      <c r="F34" s="70">
        <f>'Income Statement'!I41</f>
        <v>2554.1869904906812</v>
      </c>
      <c r="G34" s="66"/>
      <c r="J34" s="395"/>
      <c r="K34" s="395"/>
      <c r="L34" s="395"/>
    </row>
    <row r="35" spans="1:12" x14ac:dyDescent="0.3">
      <c r="A35" t="s">
        <v>177</v>
      </c>
      <c r="B35" s="66">
        <f>Dashboard!B32</f>
        <v>0.12451785073820854</v>
      </c>
      <c r="C35" s="66">
        <f>Dashboard!C32</f>
        <v>0.12739417295113853</v>
      </c>
      <c r="D35" s="66">
        <f>Dashboard!D32</f>
        <v>0.12959685246884281</v>
      </c>
      <c r="E35" s="66">
        <f>Dashboard!E32</f>
        <v>0.12584281620918025</v>
      </c>
      <c r="F35" s="66">
        <f>Dashboard!F32</f>
        <v>0.1263738041713465</v>
      </c>
      <c r="G35" s="64"/>
      <c r="J35" s="395"/>
      <c r="K35" s="395"/>
      <c r="L35" s="395"/>
    </row>
    <row r="36" spans="1:12" s="72" customFormat="1" x14ac:dyDescent="0.3">
      <c r="A36" s="63" t="s">
        <v>173</v>
      </c>
      <c r="B36" s="285">
        <f>'Balance Sheet'!E8</f>
        <v>1480.3767970060408</v>
      </c>
      <c r="C36" s="285">
        <f>'Balance Sheet'!F8</f>
        <v>2931.1837034372902</v>
      </c>
      <c r="D36" s="285">
        <f>'Balance Sheet'!G8</f>
        <v>4469.8026531552114</v>
      </c>
      <c r="E36" s="285">
        <f>'Balance Sheet'!H8</f>
        <v>6149.6657661167555</v>
      </c>
      <c r="F36" s="285">
        <f>'Balance Sheet'!I8</f>
        <v>7972.5670258921036</v>
      </c>
      <c r="G36" s="64"/>
      <c r="I36" s="92"/>
    </row>
    <row r="37" spans="1:12" x14ac:dyDescent="0.3">
      <c r="B37" s="66"/>
      <c r="C37" s="66"/>
      <c r="D37" s="66"/>
      <c r="E37" s="66"/>
      <c r="F37" s="66"/>
      <c r="J37" s="395"/>
      <c r="K37" s="395"/>
      <c r="L37" s="395"/>
    </row>
    <row r="38" spans="1:12" x14ac:dyDescent="0.3">
      <c r="A38" s="63" t="s">
        <v>185</v>
      </c>
      <c r="B38" s="66">
        <f>'Company Overview'!E41</f>
        <v>8.911724608119485</v>
      </c>
      <c r="C38" s="66">
        <f>'Company Overview'!F41</f>
        <v>9.766056538297363</v>
      </c>
      <c r="D38" s="66">
        <f>'Company Overview'!G41</f>
        <v>10.688108339093874</v>
      </c>
      <c r="E38" s="66">
        <f>'Company Overview'!H41</f>
        <v>11.746375656430484</v>
      </c>
      <c r="F38" s="66">
        <f>'Company Overview'!I41</f>
        <v>12.854290280759598</v>
      </c>
      <c r="J38" s="395"/>
      <c r="K38" s="395"/>
      <c r="L38" s="395"/>
    </row>
    <row r="39" spans="1:12" s="72" customFormat="1" x14ac:dyDescent="0.3">
      <c r="A39" s="63" t="s">
        <v>186</v>
      </c>
      <c r="B39" s="286">
        <f>'Company Overview'!B47</f>
        <v>2.4377439668869998E-2</v>
      </c>
      <c r="C39" s="286">
        <f>'Company Overview'!C47</f>
        <v>0.18890476018817254</v>
      </c>
      <c r="D39" s="286">
        <f>'Company Overview'!D47</f>
        <v>0.22614676339285714</v>
      </c>
      <c r="E39" s="286">
        <f>'Company Overview'!E47</f>
        <v>0.16835872313758435</v>
      </c>
      <c r="F39" s="286">
        <f>'Company Overview'!F47</f>
        <v>0.13102199591800009</v>
      </c>
      <c r="I39" s="92"/>
    </row>
    <row r="40" spans="1:12" x14ac:dyDescent="0.3">
      <c r="A40" s="63" t="s">
        <v>174</v>
      </c>
      <c r="B40" s="66">
        <f>B32</f>
        <v>0.12451785073820854</v>
      </c>
      <c r="C40" s="66">
        <f t="shared" ref="C40:F40" si="0">C32</f>
        <v>0.12739417295113853</v>
      </c>
      <c r="D40" s="66">
        <f t="shared" si="0"/>
        <v>0.12959685246884281</v>
      </c>
      <c r="E40" s="66">
        <f t="shared" si="0"/>
        <v>0.12584281620918025</v>
      </c>
      <c r="F40" s="66">
        <f t="shared" si="0"/>
        <v>0.1263738041713465</v>
      </c>
    </row>
    <row r="41" spans="1:12" s="72" customFormat="1" x14ac:dyDescent="0.3">
      <c r="A41" s="63" t="s">
        <v>187</v>
      </c>
      <c r="B41" s="66">
        <f>'Company Overview'!E42</f>
        <v>0.37033818977619504</v>
      </c>
      <c r="C41" s="66">
        <f>'Company Overview'!F42</f>
        <v>0.3214041889872406</v>
      </c>
      <c r="D41" s="66">
        <f>'Company Overview'!G42</f>
        <v>0.28604678703383446</v>
      </c>
      <c r="E41" s="66">
        <f>'Company Overview'!H42</f>
        <v>0.2504411864727718</v>
      </c>
      <c r="F41" s="66">
        <f>'Company Overview'!I42</f>
        <v>0.23052799015241082</v>
      </c>
      <c r="I41" s="92"/>
    </row>
    <row r="42" spans="1:12" x14ac:dyDescent="0.3">
      <c r="I42"/>
    </row>
    <row r="43" spans="1:12" x14ac:dyDescent="0.3">
      <c r="A43" s="98" t="s">
        <v>23</v>
      </c>
      <c r="B43" s="287" t="str">
        <f>B24</f>
        <v>FY2022 E</v>
      </c>
      <c r="C43" s="287" t="str">
        <f t="shared" ref="C43:F43" si="1">C24</f>
        <v>FY2023 E</v>
      </c>
      <c r="D43" s="287" t="str">
        <f t="shared" si="1"/>
        <v>FY2024 E</v>
      </c>
      <c r="E43" s="287" t="str">
        <f t="shared" si="1"/>
        <v>FY2025 E</v>
      </c>
      <c r="F43" s="287" t="str">
        <f t="shared" si="1"/>
        <v>FY2026 E</v>
      </c>
      <c r="I43"/>
    </row>
    <row r="44" spans="1:12" x14ac:dyDescent="0.3">
      <c r="A44" t="s">
        <v>14</v>
      </c>
      <c r="B44" s="93"/>
      <c r="C44" s="93"/>
    </row>
    <row r="45" spans="1:12" x14ac:dyDescent="0.3">
      <c r="A45" t="s">
        <v>13</v>
      </c>
      <c r="B45" s="93"/>
      <c r="C45" s="93"/>
      <c r="D45" s="84"/>
    </row>
    <row r="46" spans="1:12" s="140" customFormat="1" x14ac:dyDescent="0.3">
      <c r="A46" s="140" t="s">
        <v>334</v>
      </c>
      <c r="B46" s="93"/>
      <c r="C46" s="93"/>
      <c r="D46" s="139"/>
      <c r="I46" s="139"/>
    </row>
    <row r="47" spans="1:12" x14ac:dyDescent="0.3">
      <c r="A47" s="94" t="s">
        <v>15</v>
      </c>
      <c r="B47" s="95"/>
      <c r="C47" s="95"/>
      <c r="D47" s="95"/>
    </row>
    <row r="59" spans="9:14" x14ac:dyDescent="0.3">
      <c r="I59"/>
    </row>
    <row r="60" spans="9:14" x14ac:dyDescent="0.3">
      <c r="M60" s="96"/>
      <c r="N60" s="96"/>
    </row>
    <row r="62" spans="9:14" x14ac:dyDescent="0.3">
      <c r="M62" s="84"/>
      <c r="N62" s="84"/>
    </row>
    <row r="64" spans="9:14" x14ac:dyDescent="0.3">
      <c r="I64"/>
    </row>
  </sheetData>
  <mergeCells count="22">
    <mergeCell ref="J38:L38"/>
    <mergeCell ref="J26:L26"/>
    <mergeCell ref="J29:L29"/>
    <mergeCell ref="J30:L30"/>
    <mergeCell ref="J27:L27"/>
    <mergeCell ref="J28:L28"/>
    <mergeCell ref="J33:L33"/>
    <mergeCell ref="J34:L34"/>
    <mergeCell ref="J35:L35"/>
    <mergeCell ref="J37:L37"/>
    <mergeCell ref="B10:D10"/>
    <mergeCell ref="A12:D12"/>
    <mergeCell ref="A13:D20"/>
    <mergeCell ref="J25:L25"/>
    <mergeCell ref="H24:M24"/>
    <mergeCell ref="B7:D7"/>
    <mergeCell ref="B8:D8"/>
    <mergeCell ref="B9:D9"/>
    <mergeCell ref="H5:M5"/>
    <mergeCell ref="O5:T5"/>
    <mergeCell ref="A5:D5"/>
    <mergeCell ref="B6:D6"/>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L73"/>
  <sheetViews>
    <sheetView showGridLines="0" zoomScaleNormal="100" workbookViewId="0">
      <selection activeCell="B1" sqref="B1"/>
    </sheetView>
  </sheetViews>
  <sheetFormatPr defaultColWidth="9.109375" defaultRowHeight="13.8" x14ac:dyDescent="0.3"/>
  <cols>
    <col min="1" max="1" width="46.5546875" style="48" customWidth="1"/>
    <col min="2" max="12" width="11" style="48" bestFit="1" customWidth="1"/>
    <col min="13" max="16384" width="9.109375" style="48"/>
  </cols>
  <sheetData>
    <row r="1" spans="1:12" s="1" customFormat="1" ht="35.25" customHeight="1" x14ac:dyDescent="0.3">
      <c r="A1" s="51" t="str">
        <f>Dashboard!A1</f>
        <v>[Britannia LTD.]</v>
      </c>
      <c r="B1" s="53"/>
      <c r="C1" s="53"/>
      <c r="D1" s="53"/>
      <c r="E1" s="53"/>
      <c r="F1" s="53"/>
      <c r="G1" s="53"/>
      <c r="H1" s="53"/>
      <c r="I1" s="53"/>
      <c r="J1" s="53"/>
      <c r="K1" s="53"/>
      <c r="L1" s="53"/>
    </row>
    <row r="2" spans="1:12" s="1" customFormat="1" ht="18" customHeight="1" x14ac:dyDescent="0.3">
      <c r="A2" s="52" t="s">
        <v>30</v>
      </c>
      <c r="B2" s="57"/>
      <c r="C2" s="57"/>
      <c r="D2" s="57"/>
      <c r="E2" s="57"/>
      <c r="F2" s="57"/>
      <c r="G2" s="57"/>
      <c r="H2" s="57"/>
      <c r="I2" s="57"/>
      <c r="J2" s="57"/>
      <c r="K2" s="57"/>
      <c r="L2" s="57"/>
    </row>
    <row r="3" spans="1:12" s="1" customFormat="1" x14ac:dyDescent="0.3">
      <c r="A3" s="2" t="s">
        <v>65</v>
      </c>
      <c r="L3" s="49"/>
    </row>
    <row r="4" spans="1:12" s="1" customFormat="1" x14ac:dyDescent="0.3">
      <c r="A4" s="2"/>
      <c r="L4" s="49"/>
    </row>
    <row r="5" spans="1:12" s="106" customFormat="1" ht="15.6" x14ac:dyDescent="0.3"/>
    <row r="6" spans="1:12" s="106" customFormat="1" ht="15.6" x14ac:dyDescent="0.3">
      <c r="A6" s="143" t="s">
        <v>183</v>
      </c>
      <c r="B6" s="143" t="str">
        <f>Assumptions!B5</f>
        <v>FY2019 A</v>
      </c>
      <c r="C6" s="143" t="str">
        <f>Assumptions!C5</f>
        <v>FY2020 A</v>
      </c>
      <c r="D6" s="143" t="str">
        <f>Assumptions!D5</f>
        <v>FY2021 A</v>
      </c>
      <c r="E6" s="143" t="str">
        <f>Assumptions!E5</f>
        <v>FY2022 E</v>
      </c>
      <c r="F6" s="143" t="str">
        <f>Assumptions!F5</f>
        <v>FY2023 E</v>
      </c>
      <c r="G6" s="143" t="str">
        <f>Assumptions!G5</f>
        <v>FY2024 E</v>
      </c>
      <c r="H6" s="143" t="str">
        <f>Assumptions!H5</f>
        <v>FY2025 E</v>
      </c>
      <c r="I6" s="143" t="str">
        <f>Assumptions!I5</f>
        <v>FY2026 E</v>
      </c>
      <c r="J6" s="143" t="str">
        <f>Assumptions!J5</f>
        <v>FY2027 E</v>
      </c>
      <c r="K6" s="143" t="str">
        <f>Assumptions!K5</f>
        <v>FY2028 E</v>
      </c>
      <c r="L6" s="143" t="str">
        <f>Assumptions!L5</f>
        <v>FY2029 E</v>
      </c>
    </row>
    <row r="7" spans="1:12" s="106" customFormat="1" ht="15.6" x14ac:dyDescent="0.3">
      <c r="A7" s="107" t="s">
        <v>7</v>
      </c>
      <c r="B7" s="108">
        <f>'Income Statement'!B7</f>
        <v>11054</v>
      </c>
      <c r="C7" s="108">
        <f>'Income Statement'!C7</f>
        <v>11599</v>
      </c>
      <c r="D7" s="108">
        <f>'Income Statement'!D7</f>
        <v>13136</v>
      </c>
      <c r="E7" s="108">
        <f>'Income Statement'!E7</f>
        <v>14318.24</v>
      </c>
      <c r="F7" s="108">
        <f>'Income Statement'!F7</f>
        <v>15606.881600000001</v>
      </c>
      <c r="G7" s="108">
        <f>'Income Statement'!G7</f>
        <v>17011.500943999999</v>
      </c>
      <c r="H7" s="108">
        <f>'Income Statement'!H7</f>
        <v>18542.536028959999</v>
      </c>
      <c r="I7" s="108">
        <f>'Income Statement'!I7</f>
        <v>20211.364271566399</v>
      </c>
      <c r="J7" s="108">
        <f>'Income Statement'!J7</f>
        <v>22030.387056007374</v>
      </c>
      <c r="K7" s="108">
        <f>'Income Statement'!K7</f>
        <v>24013.121891048038</v>
      </c>
      <c r="L7" s="108">
        <f>'Income Statement'!L7</f>
        <v>26174.302861242362</v>
      </c>
    </row>
    <row r="8" spans="1:12" s="106" customFormat="1" ht="15.6" x14ac:dyDescent="0.3">
      <c r="A8" s="107" t="s">
        <v>2</v>
      </c>
      <c r="B8" s="108">
        <f>'Income Statement'!B23</f>
        <v>1735</v>
      </c>
      <c r="C8" s="108">
        <f>'Income Statement'!C23</f>
        <v>1842.5300000000007</v>
      </c>
      <c r="D8" s="108">
        <f>'Income Statement'!D23</f>
        <v>2510</v>
      </c>
      <c r="E8" s="108">
        <f>'Income Statement'!E23</f>
        <v>2419.2441881295272</v>
      </c>
      <c r="F8" s="108">
        <f>'Income Statement'!F23</f>
        <v>2699.4330419861699</v>
      </c>
      <c r="G8" s="108">
        <f>'Income Statement'!G23</f>
        <v>3022.402941893873</v>
      </c>
      <c r="H8" s="108">
        <f>'Income Statement'!H23</f>
        <v>3211.5356618524274</v>
      </c>
      <c r="I8" s="108">
        <f>'Income Statement'!I23</f>
        <v>3529.111626537855</v>
      </c>
      <c r="J8" s="108">
        <f>'Income Statement'!J23</f>
        <v>3858.818884070336</v>
      </c>
      <c r="K8" s="108">
        <f>'Income Statement'!K23</f>
        <v>4186.0273079197923</v>
      </c>
      <c r="L8" s="108">
        <f>'Income Statement'!L23</f>
        <v>4572.5781274667443</v>
      </c>
    </row>
    <row r="9" spans="1:12" s="106" customFormat="1" ht="15.6" x14ac:dyDescent="0.3">
      <c r="A9" s="109" t="s">
        <v>18</v>
      </c>
      <c r="B9" s="108">
        <f>'Income Statement'!B25</f>
        <v>1573.12</v>
      </c>
      <c r="C9" s="108">
        <f>'Income Statement'!C25</f>
        <v>1657.7200000000007</v>
      </c>
      <c r="D9" s="108">
        <f>'Income Statement'!D25</f>
        <v>2312.15</v>
      </c>
      <c r="E9" s="108">
        <f>'Income Statement'!E25</f>
        <v>2194.2699751125015</v>
      </c>
      <c r="F9" s="108">
        <f>'Income Statement'!F25</f>
        <v>2463.1179526453197</v>
      </c>
      <c r="G9" s="108">
        <f>'Income Statement'!G25</f>
        <v>2767.8802782504149</v>
      </c>
      <c r="H9" s="108">
        <f>'Income Statement'!H25</f>
        <v>2933.1867149327295</v>
      </c>
      <c r="I9" s="108">
        <f>'Income Statement'!I25</f>
        <v>3229.9576883470409</v>
      </c>
      <c r="J9" s="108">
        <f>'Income Statement'!J25</f>
        <v>3534.8121839819892</v>
      </c>
      <c r="K9" s="108">
        <f>'Income Statement'!K25</f>
        <v>3834.4846826758799</v>
      </c>
      <c r="L9" s="108">
        <f>'Income Statement'!L25</f>
        <v>4192.1964299070978</v>
      </c>
    </row>
    <row r="10" spans="1:12" s="106" customFormat="1" ht="15.6" x14ac:dyDescent="0.3">
      <c r="A10" s="109" t="s">
        <v>161</v>
      </c>
      <c r="B10" s="108">
        <f>'Income Statement'!B31</f>
        <v>1769.51</v>
      </c>
      <c r="C10" s="108">
        <f>'Income Statement'!C31</f>
        <v>1843.6500000000008</v>
      </c>
      <c r="D10" s="108">
        <f>'Income Statement'!D31</f>
        <v>2514.4499999999998</v>
      </c>
      <c r="E10" s="108">
        <f>'Income Statement'!E31</f>
        <v>2390.1465239526151</v>
      </c>
      <c r="F10" s="108">
        <f>'Income Statement'!F31</f>
        <v>2665.4403706128842</v>
      </c>
      <c r="G10" s="108">
        <f>'Income Statement'!G31</f>
        <v>2968.3132671863077</v>
      </c>
      <c r="H10" s="108">
        <f>'Income Statement'!H31</f>
        <v>3132.7307001805866</v>
      </c>
      <c r="I10" s="108">
        <f>'Income Statement'!I31</f>
        <v>3430.724152397479</v>
      </c>
      <c r="J10" s="108">
        <f>'Income Statement'!J31</f>
        <v>3735.0599967267185</v>
      </c>
      <c r="K10" s="108">
        <f>'Income Statement'!K31</f>
        <v>4034.6707700235547</v>
      </c>
      <c r="L10" s="108">
        <f>'Income Statement'!L31</f>
        <v>4392.5965512880448</v>
      </c>
    </row>
    <row r="11" spans="1:12" s="106" customFormat="1" ht="15.6" x14ac:dyDescent="0.3">
      <c r="A11" s="109" t="s">
        <v>52</v>
      </c>
      <c r="B11" s="108">
        <f>'Income Statement'!B35</f>
        <v>1157.04</v>
      </c>
      <c r="C11" s="108">
        <f>'Income Statement'!C35</f>
        <v>1392.9500000000007</v>
      </c>
      <c r="D11" s="108">
        <f>'Income Statement'!D35</f>
        <v>1851.4299999999998</v>
      </c>
      <c r="E11" s="108">
        <f>'Income Statement'!E35</f>
        <v>1782.876471153847</v>
      </c>
      <c r="F11" s="108">
        <f>'Income Statement'!F35</f>
        <v>1988.2257737783416</v>
      </c>
      <c r="G11" s="108">
        <f>'Income Statement'!G35</f>
        <v>2204.636978113148</v>
      </c>
      <c r="H11" s="108">
        <f>'Income Statement'!H35</f>
        <v>2333.444953544516</v>
      </c>
      <c r="I11" s="108">
        <f>'Income Statement'!I35</f>
        <v>2554.1869904906812</v>
      </c>
      <c r="J11" s="108">
        <f>'Income Statement'!J35</f>
        <v>2778.9933334808411</v>
      </c>
      <c r="K11" s="108">
        <f>'Income Statement'!K35</f>
        <v>3003.6679241008078</v>
      </c>
      <c r="L11" s="108">
        <f>'Income Statement'!L35</f>
        <v>3269.5517048700922</v>
      </c>
    </row>
    <row r="12" spans="1:12" s="106" customFormat="1" ht="15.6" x14ac:dyDescent="0.3">
      <c r="A12" s="110"/>
      <c r="B12" s="111"/>
      <c r="C12" s="112"/>
      <c r="D12" s="112"/>
      <c r="E12" s="112"/>
      <c r="F12" s="112"/>
      <c r="G12" s="112"/>
      <c r="H12" s="112"/>
      <c r="I12" s="112"/>
      <c r="J12" s="112"/>
      <c r="K12" s="112"/>
      <c r="L12" s="112"/>
    </row>
    <row r="13" spans="1:12" s="106" customFormat="1" ht="15.6" x14ac:dyDescent="0.3">
      <c r="A13" s="145" t="s">
        <v>184</v>
      </c>
      <c r="B13" s="144" t="str">
        <f>B6</f>
        <v>FY2019 A</v>
      </c>
      <c r="C13" s="144" t="str">
        <f t="shared" ref="C13:L13" si="0">C6</f>
        <v>FY2020 A</v>
      </c>
      <c r="D13" s="144" t="str">
        <f t="shared" si="0"/>
        <v>FY2021 A</v>
      </c>
      <c r="E13" s="144" t="str">
        <f t="shared" si="0"/>
        <v>FY2022 E</v>
      </c>
      <c r="F13" s="144" t="str">
        <f t="shared" si="0"/>
        <v>FY2023 E</v>
      </c>
      <c r="G13" s="144" t="str">
        <f t="shared" si="0"/>
        <v>FY2024 E</v>
      </c>
      <c r="H13" s="144" t="str">
        <f t="shared" si="0"/>
        <v>FY2025 E</v>
      </c>
      <c r="I13" s="144" t="str">
        <f t="shared" si="0"/>
        <v>FY2026 E</v>
      </c>
      <c r="J13" s="144" t="str">
        <f t="shared" si="0"/>
        <v>FY2027 E</v>
      </c>
      <c r="K13" s="144" t="str">
        <f t="shared" si="0"/>
        <v>FY2028 E</v>
      </c>
      <c r="L13" s="144" t="str">
        <f t="shared" si="0"/>
        <v>FY2029 E</v>
      </c>
    </row>
    <row r="14" spans="1:12" s="106" customFormat="1" ht="15.6" x14ac:dyDescent="0.3">
      <c r="A14" s="107" t="s">
        <v>162</v>
      </c>
      <c r="B14" s="108">
        <f>'Balance Sheet'!B20</f>
        <v>1535.58</v>
      </c>
      <c r="C14" s="108">
        <f>'Balance Sheet'!C20</f>
        <v>1716.37</v>
      </c>
      <c r="D14" s="108">
        <f>'Balance Sheet'!D20</f>
        <v>1634.3</v>
      </c>
      <c r="E14" s="108">
        <f>'Balance Sheet'!E20</f>
        <v>1606.674423820798</v>
      </c>
      <c r="F14" s="108">
        <f>'Balance Sheet'!F20</f>
        <v>1598.0740577118286</v>
      </c>
      <c r="G14" s="108">
        <f>'Balance Sheet'!G20</f>
        <v>1591.6287900803798</v>
      </c>
      <c r="H14" s="108">
        <f>'Balance Sheet'!H20</f>
        <v>1578.5750916972418</v>
      </c>
      <c r="I14" s="108">
        <f>'Balance Sheet'!I20</f>
        <v>1572.3438501944311</v>
      </c>
      <c r="J14" s="108">
        <f>'Balance Sheet'!J20</f>
        <v>1566.9132175411246</v>
      </c>
      <c r="K14" s="108">
        <f>'Balance Sheet'!K20</f>
        <v>1561.652231847655</v>
      </c>
      <c r="L14" s="108">
        <f>'Balance Sheet'!L20</f>
        <v>1559.7149596300887</v>
      </c>
    </row>
    <row r="15" spans="1:12" s="106" customFormat="1" ht="15.6" x14ac:dyDescent="0.3">
      <c r="A15" s="107" t="s">
        <v>163</v>
      </c>
      <c r="B15" s="108">
        <f>'Balance Sheet'!B8</f>
        <v>60.32</v>
      </c>
      <c r="C15" s="108">
        <f>'Balance Sheet'!C8</f>
        <v>81.23</v>
      </c>
      <c r="D15" s="108">
        <f>'Balance Sheet'!D8</f>
        <v>142.74</v>
      </c>
      <c r="E15" s="108">
        <f>'Balance Sheet'!E8</f>
        <v>1480.3767970060408</v>
      </c>
      <c r="F15" s="108">
        <f>'Balance Sheet'!F8</f>
        <v>2931.1837034372902</v>
      </c>
      <c r="G15" s="108">
        <f>'Balance Sheet'!G8</f>
        <v>4469.8026531552114</v>
      </c>
      <c r="H15" s="108">
        <f>'Balance Sheet'!H8</f>
        <v>6149.6657661167555</v>
      </c>
      <c r="I15" s="108">
        <f>'Balance Sheet'!I8</f>
        <v>7972.5670258921036</v>
      </c>
      <c r="J15" s="108">
        <f>'Balance Sheet'!J8</f>
        <v>9942.2824757209346</v>
      </c>
      <c r="K15" s="108">
        <f>'Balance Sheet'!K8</f>
        <v>12082.6039572516</v>
      </c>
      <c r="L15" s="108">
        <f>'Balance Sheet'!L8</f>
        <v>14405.1290225749</v>
      </c>
    </row>
    <row r="16" spans="1:12" s="106" customFormat="1" ht="15.6" x14ac:dyDescent="0.3">
      <c r="A16" s="107" t="s">
        <v>167</v>
      </c>
      <c r="B16" s="108">
        <f>'Balance Sheet'!B18-'Balance Sheet'!B43</f>
        <v>1674.9300000000003</v>
      </c>
      <c r="C16" s="108">
        <f>'Balance Sheet'!C18-'Balance Sheet'!C43</f>
        <v>1109.6699999999996</v>
      </c>
      <c r="D16" s="108">
        <f>'Balance Sheet'!D18-'Balance Sheet'!D43</f>
        <v>805.40999999999985</v>
      </c>
      <c r="E16" s="108">
        <f>'Balance Sheet'!E18-'Balance Sheet'!E43</f>
        <v>2050.9428530170044</v>
      </c>
      <c r="F16" s="108">
        <f>'Balance Sheet'!F18-'Balance Sheet'!F43</f>
        <v>3418.2578743116637</v>
      </c>
      <c r="G16" s="108">
        <f>'Balance Sheet'!G18-'Balance Sheet'!G43</f>
        <v>4931.8829845356895</v>
      </c>
      <c r="H16" s="108">
        <f>'Balance Sheet'!H18-'Balance Sheet'!H43</f>
        <v>6539.9786652868606</v>
      </c>
      <c r="I16" s="108">
        <f>'Balance Sheet'!I18-'Balance Sheet'!I43</f>
        <v>8291.9185926262089</v>
      </c>
      <c r="J16" s="108">
        <f>'Balance Sheet'!J18-'Balance Sheet'!J43</f>
        <v>10196.80422609111</v>
      </c>
      <c r="K16" s="108">
        <f>'Balance Sheet'!K18-'Balance Sheet'!K43</f>
        <v>12254.958170412705</v>
      </c>
      <c r="L16" s="108">
        <f>'Balance Sheet'!L18-'Balance Sheet'!L43</f>
        <v>14491.4181590428</v>
      </c>
    </row>
    <row r="17" spans="1:12" s="106" customFormat="1" ht="15.6" x14ac:dyDescent="0.3">
      <c r="A17" s="109" t="s">
        <v>164</v>
      </c>
      <c r="B17" s="108">
        <f>'Balance Sheet'!B45</f>
        <v>61.92</v>
      </c>
      <c r="C17" s="108">
        <f>'Balance Sheet'!C45</f>
        <v>766.06</v>
      </c>
      <c r="D17" s="108">
        <f>'Balance Sheet'!D45</f>
        <v>747.75</v>
      </c>
      <c r="E17" s="108">
        <f>'Balance Sheet'!E45</f>
        <v>747.75</v>
      </c>
      <c r="F17" s="108">
        <f>'Balance Sheet'!F45</f>
        <v>747.75</v>
      </c>
      <c r="G17" s="108">
        <f>'Balance Sheet'!G45</f>
        <v>747.75</v>
      </c>
      <c r="H17" s="108">
        <f>'Balance Sheet'!H45</f>
        <v>747.75</v>
      </c>
      <c r="I17" s="108">
        <f>'Balance Sheet'!I45</f>
        <v>747.75</v>
      </c>
      <c r="J17" s="108">
        <f>'Balance Sheet'!J45</f>
        <v>747.75</v>
      </c>
      <c r="K17" s="108">
        <f>'Balance Sheet'!K45</f>
        <v>747.75</v>
      </c>
      <c r="L17" s="108">
        <f>'Balance Sheet'!L45</f>
        <v>747.75</v>
      </c>
    </row>
    <row r="18" spans="1:12" s="106" customFormat="1" ht="15.6" x14ac:dyDescent="0.3">
      <c r="A18" s="109" t="s">
        <v>166</v>
      </c>
      <c r="B18" s="108">
        <f>'Balance Sheet'!B55</f>
        <v>24.03</v>
      </c>
      <c r="C18" s="108">
        <f>'Balance Sheet'!C55</f>
        <v>24.05</v>
      </c>
      <c r="D18" s="108">
        <f>'Balance Sheet'!D55</f>
        <v>24.09</v>
      </c>
      <c r="E18" s="108">
        <f>'Balance Sheet'!E55</f>
        <v>24.09</v>
      </c>
      <c r="F18" s="108">
        <f>'Balance Sheet'!F55</f>
        <v>24.09</v>
      </c>
      <c r="G18" s="108">
        <f>'Balance Sheet'!G55</f>
        <v>24.09</v>
      </c>
      <c r="H18" s="108">
        <f>'Balance Sheet'!H55</f>
        <v>24.09</v>
      </c>
      <c r="I18" s="108">
        <f>'Balance Sheet'!I55</f>
        <v>24.09</v>
      </c>
      <c r="J18" s="108">
        <f>'Balance Sheet'!J55</f>
        <v>24.09</v>
      </c>
      <c r="K18" s="108">
        <f>'Balance Sheet'!K55</f>
        <v>24.09</v>
      </c>
      <c r="L18" s="108">
        <f>'Balance Sheet'!L55</f>
        <v>24.09</v>
      </c>
    </row>
    <row r="19" spans="1:12" s="106" customFormat="1" ht="15.6" x14ac:dyDescent="0.3">
      <c r="A19" s="109" t="s">
        <v>165</v>
      </c>
      <c r="B19" s="108">
        <f>'Balance Sheet'!B56</f>
        <v>4229.22</v>
      </c>
      <c r="C19" s="108">
        <f>'Balance Sheet'!C56</f>
        <v>4378.78</v>
      </c>
      <c r="D19" s="108">
        <f>'Balance Sheet'!D56</f>
        <v>3523.57</v>
      </c>
      <c r="E19" s="108">
        <f>'Balance Sheet'!E56</f>
        <v>4753.7547650961551</v>
      </c>
      <c r="F19" s="108">
        <f>'Balance Sheet'!F56</f>
        <v>6125.6305490032109</v>
      </c>
      <c r="G19" s="108">
        <f>'Balance Sheet'!G56</f>
        <v>7646.8300639012832</v>
      </c>
      <c r="H19" s="108">
        <f>'Balance Sheet'!H56</f>
        <v>9256.9070818469991</v>
      </c>
      <c r="I19" s="108">
        <f>'Balance Sheet'!I56</f>
        <v>11019.29610528557</v>
      </c>
      <c r="J19" s="108">
        <f>'Balance Sheet'!J56</f>
        <v>12936.80150538735</v>
      </c>
      <c r="K19" s="108">
        <f>'Balance Sheet'!K56</f>
        <v>15009.332373016907</v>
      </c>
      <c r="L19" s="108">
        <f>'Balance Sheet'!L56</f>
        <v>17265.323049377272</v>
      </c>
    </row>
    <row r="20" spans="1:12" s="106" customFormat="1" ht="15.6" x14ac:dyDescent="0.3">
      <c r="L20" s="113"/>
    </row>
    <row r="21" spans="1:12" s="114" customFormat="1" ht="15.6" x14ac:dyDescent="0.3">
      <c r="A21" s="147" t="s">
        <v>159</v>
      </c>
      <c r="B21" s="146" t="str">
        <f t="shared" ref="B21:L21" si="1">B13</f>
        <v>FY2019 A</v>
      </c>
      <c r="C21" s="146" t="str">
        <f t="shared" si="1"/>
        <v>FY2020 A</v>
      </c>
      <c r="D21" s="146" t="str">
        <f t="shared" si="1"/>
        <v>FY2021 A</v>
      </c>
      <c r="E21" s="146" t="str">
        <f t="shared" si="1"/>
        <v>FY2022 E</v>
      </c>
      <c r="F21" s="146" t="str">
        <f t="shared" si="1"/>
        <v>FY2023 E</v>
      </c>
      <c r="G21" s="146" t="str">
        <f t="shared" si="1"/>
        <v>FY2024 E</v>
      </c>
      <c r="H21" s="146" t="str">
        <f t="shared" si="1"/>
        <v>FY2025 E</v>
      </c>
      <c r="I21" s="146" t="str">
        <f t="shared" si="1"/>
        <v>FY2026 E</v>
      </c>
      <c r="J21" s="146" t="str">
        <f t="shared" si="1"/>
        <v>FY2027 E</v>
      </c>
      <c r="K21" s="146" t="str">
        <f t="shared" si="1"/>
        <v>FY2028 E</v>
      </c>
      <c r="L21" s="146" t="str">
        <f t="shared" si="1"/>
        <v>FY2029 E</v>
      </c>
    </row>
    <row r="22" spans="1:12" s="114" customFormat="1" ht="15.6" x14ac:dyDescent="0.3">
      <c r="A22" s="107" t="s">
        <v>220</v>
      </c>
      <c r="B22" s="108"/>
      <c r="C22" s="241">
        <f>Assumptions!C7</f>
        <v>4.9303419576623764E-2</v>
      </c>
      <c r="D22" s="241">
        <f>Assumptions!D7</f>
        <v>0.13251142339856892</v>
      </c>
      <c r="E22" s="241">
        <f>Assumptions!E7</f>
        <v>0.09</v>
      </c>
      <c r="F22" s="241">
        <f>Assumptions!F7</f>
        <v>0.09</v>
      </c>
      <c r="G22" s="241">
        <f>Assumptions!G7</f>
        <v>0.09</v>
      </c>
      <c r="H22" s="241">
        <f>Assumptions!H7</f>
        <v>0.09</v>
      </c>
      <c r="I22" s="241">
        <f>Assumptions!I7</f>
        <v>0.09</v>
      </c>
      <c r="J22" s="241">
        <f>Assumptions!J7</f>
        <v>0.09</v>
      </c>
      <c r="K22" s="241">
        <f>Assumptions!K7</f>
        <v>0.09</v>
      </c>
      <c r="L22" s="241">
        <f>Assumptions!L7</f>
        <v>0.09</v>
      </c>
    </row>
    <row r="23" spans="1:12" s="114" customFormat="1" ht="15.6" x14ac:dyDescent="0.3">
      <c r="A23" s="109" t="s">
        <v>221</v>
      </c>
      <c r="B23" s="108"/>
      <c r="C23" s="241">
        <f>('Income Statement'!C25/'Income Statement'!B25)-1</f>
        <v>5.3778478437754851E-2</v>
      </c>
      <c r="D23" s="241">
        <f>('Income Statement'!D25/'Income Statement'!C25)-1</f>
        <v>0.39477716381536032</v>
      </c>
      <c r="E23" s="241">
        <f>('Income Statement'!E25/'Income Statement'!D25)-1</f>
        <v>-5.0982862222389791E-2</v>
      </c>
      <c r="F23" s="241">
        <f>('Income Statement'!F25/'Income Statement'!E25)-1</f>
        <v>0.12252274359222115</v>
      </c>
      <c r="G23" s="241">
        <f>('Income Statement'!G25/'Income Statement'!F25)-1</f>
        <v>0.12373030096986981</v>
      </c>
      <c r="H23" s="241">
        <f>('Income Statement'!H25/'Income Statement'!G25)-1</f>
        <v>5.9723116632344198E-2</v>
      </c>
      <c r="I23" s="241">
        <f>('Income Statement'!I25/'Income Statement'!H25)-1</f>
        <v>0.10117697993907537</v>
      </c>
      <c r="J23" s="241">
        <f>('Income Statement'!J25/'Income Statement'!I25)-1</f>
        <v>9.4383433174618503E-2</v>
      </c>
      <c r="K23" s="241">
        <f>('Income Statement'!K25/'Income Statement'!J25)-1</f>
        <v>8.4777488334983442E-2</v>
      </c>
      <c r="L23" s="241">
        <f>('Income Statement'!L25/'Income Statement'!K25)-1</f>
        <v>9.3288088709116979E-2</v>
      </c>
    </row>
    <row r="24" spans="1:12" s="114" customFormat="1" ht="15.6" x14ac:dyDescent="0.3">
      <c r="A24" s="109" t="s">
        <v>222</v>
      </c>
      <c r="B24" s="108"/>
      <c r="C24" s="241">
        <f>('Income Statement'!C35/'Income Statement'!B35)-1</f>
        <v>0.20389096314734223</v>
      </c>
      <c r="D24" s="241">
        <f>('Income Statement'!D35/'Income Statement'!C35)-1</f>
        <v>0.32914318532610576</v>
      </c>
      <c r="E24" s="241">
        <f>('Income Statement'!E35/'Income Statement'!D35)-1</f>
        <v>-3.7027340405066833E-2</v>
      </c>
      <c r="F24" s="241">
        <f>('Income Statement'!F35/'Income Statement'!E35)-1</f>
        <v>0.11517864863155447</v>
      </c>
      <c r="G24" s="241">
        <f>('Income Statement'!G35/'Income Statement'!F35)-1</f>
        <v>0.10884639319585299</v>
      </c>
      <c r="H24" s="241">
        <f>('Income Statement'!H35/'Income Statement'!G35)-1</f>
        <v>5.842593438744248E-2</v>
      </c>
      <c r="I24" s="241">
        <f>('Income Statement'!I35/'Income Statement'!H35)-1</f>
        <v>9.4599204755551058E-2</v>
      </c>
      <c r="J24" s="241">
        <f>('Income Statement'!J35/'Income Statement'!I35)-1</f>
        <v>8.8014833615205568E-2</v>
      </c>
      <c r="K24" s="241">
        <f>('Income Statement'!K35/'Income Statement'!J35)-1</f>
        <v>8.0847473764375399E-2</v>
      </c>
      <c r="L24" s="241">
        <f>('Income Statement'!L35/'Income Statement'!K35)-1</f>
        <v>8.8519699077214353E-2</v>
      </c>
    </row>
    <row r="25" spans="1:12" s="114" customFormat="1" ht="15.6" x14ac:dyDescent="0.3">
      <c r="A25" s="116"/>
      <c r="B25" s="116"/>
      <c r="C25" s="116"/>
      <c r="D25" s="116"/>
      <c r="E25" s="116"/>
      <c r="F25" s="116"/>
      <c r="G25" s="116"/>
      <c r="H25" s="116"/>
      <c r="I25" s="116"/>
      <c r="J25" s="116"/>
      <c r="K25" s="116"/>
      <c r="L25" s="116"/>
    </row>
    <row r="26" spans="1:12" s="114" customFormat="1" ht="15.6" x14ac:dyDescent="0.3">
      <c r="A26" s="147" t="s">
        <v>25</v>
      </c>
      <c r="B26" s="146" t="str">
        <f t="shared" ref="B26:L26" si="2">B6</f>
        <v>FY2019 A</v>
      </c>
      <c r="C26" s="146" t="str">
        <f t="shared" si="2"/>
        <v>FY2020 A</v>
      </c>
      <c r="D26" s="146" t="str">
        <f t="shared" si="2"/>
        <v>FY2021 A</v>
      </c>
      <c r="E26" s="146" t="str">
        <f t="shared" si="2"/>
        <v>FY2022 E</v>
      </c>
      <c r="F26" s="146" t="str">
        <f t="shared" si="2"/>
        <v>FY2023 E</v>
      </c>
      <c r="G26" s="146" t="str">
        <f t="shared" si="2"/>
        <v>FY2024 E</v>
      </c>
      <c r="H26" s="146" t="str">
        <f t="shared" si="2"/>
        <v>FY2025 E</v>
      </c>
      <c r="I26" s="146" t="str">
        <f t="shared" si="2"/>
        <v>FY2026 E</v>
      </c>
      <c r="J26" s="146" t="str">
        <f t="shared" si="2"/>
        <v>FY2027 E</v>
      </c>
      <c r="K26" s="146" t="str">
        <f t="shared" si="2"/>
        <v>FY2028 E</v>
      </c>
      <c r="L26" s="146" t="str">
        <f t="shared" si="2"/>
        <v>FY2029 E</v>
      </c>
    </row>
    <row r="27" spans="1:12" s="114" customFormat="1" ht="15.6" x14ac:dyDescent="0.3">
      <c r="A27" s="107" t="s">
        <v>12</v>
      </c>
      <c r="B27" s="117">
        <f>'Income Statement'!B63</f>
        <v>0.40645920028948795</v>
      </c>
      <c r="C27" s="117">
        <f>'Income Statement'!C63</f>
        <v>0.40275282351926894</v>
      </c>
      <c r="D27" s="117">
        <f>'Income Statement'!D63</f>
        <v>0.41945797807551766</v>
      </c>
      <c r="E27" s="117">
        <f>'Income Statement'!E63</f>
        <v>0.40955666729475826</v>
      </c>
      <c r="F27" s="117">
        <f>'Income Statement'!F63</f>
        <v>0.4105891562965151</v>
      </c>
      <c r="G27" s="117">
        <f>'Income Statement'!G63</f>
        <v>0.41320126722226369</v>
      </c>
      <c r="H27" s="117">
        <f>'Income Statement'!H63</f>
        <v>0.41111569693784566</v>
      </c>
      <c r="I27" s="117">
        <f>'Income Statement'!I63</f>
        <v>0.41163537348554152</v>
      </c>
      <c r="J27" s="117">
        <f>'Income Statement'!J63</f>
        <v>0.41198411254855027</v>
      </c>
      <c r="K27" s="117">
        <f>'Income Statement'!K63</f>
        <v>0.41157839432397914</v>
      </c>
      <c r="L27" s="117">
        <f>'Income Statement'!L63</f>
        <v>0.41173262678602363</v>
      </c>
    </row>
    <row r="28" spans="1:12" s="114" customFormat="1" ht="15.6" x14ac:dyDescent="0.3">
      <c r="A28" s="109" t="s">
        <v>67</v>
      </c>
      <c r="B28" s="117">
        <f>'Income Statement'!B72</f>
        <v>0.15695675773475665</v>
      </c>
      <c r="C28" s="117">
        <f>'Income Statement'!C72</f>
        <v>0.15885248728338655</v>
      </c>
      <c r="D28" s="117">
        <f>'Income Statement'!D72</f>
        <v>0.19107795371498174</v>
      </c>
      <c r="E28" s="117">
        <f>'Income Statement'!E72</f>
        <v>0.16896239957770837</v>
      </c>
      <c r="F28" s="117">
        <f>'Income Statement'!F72</f>
        <v>0.17296428019202567</v>
      </c>
      <c r="G28" s="117">
        <f>'Income Statement'!G72</f>
        <v>0.17766821116157197</v>
      </c>
      <c r="H28" s="117">
        <f>'Income Statement'!H72</f>
        <v>0.17319829697710198</v>
      </c>
      <c r="I28" s="117">
        <f>'Income Statement'!I72</f>
        <v>0.17461026277689989</v>
      </c>
      <c r="J28" s="117">
        <f>'Income Statement'!J72</f>
        <v>0.17515892363852459</v>
      </c>
      <c r="K28" s="117">
        <f>'Income Statement'!K72</f>
        <v>0.17432249446417547</v>
      </c>
      <c r="L28" s="117">
        <f>'Income Statement'!L72</f>
        <v>0.17469722695986667</v>
      </c>
    </row>
    <row r="29" spans="1:12" s="114" customFormat="1" ht="15.6" x14ac:dyDescent="0.3">
      <c r="A29" s="109" t="s">
        <v>68</v>
      </c>
      <c r="B29" s="117">
        <f>'Income Statement'!B74</f>
        <v>0.14231228514564861</v>
      </c>
      <c r="C29" s="117">
        <f>'Income Statement'!C74</f>
        <v>0.14291921717389436</v>
      </c>
      <c r="D29" s="117">
        <f>'Income Statement'!D74</f>
        <v>0.17601629110840439</v>
      </c>
      <c r="E29" s="117">
        <f>'Income Statement'!E74</f>
        <v>0.15324997870635648</v>
      </c>
      <c r="F29" s="117">
        <f>'Income Statement'!F74</f>
        <v>0.15782255647055846</v>
      </c>
      <c r="G29" s="117">
        <f>'Income Statement'!G74</f>
        <v>0.16270641181880272</v>
      </c>
      <c r="H29" s="117">
        <f>'Income Statement'!H74</f>
        <v>0.15818692277861218</v>
      </c>
      <c r="I29" s="117">
        <f>'Income Statement'!I74</f>
        <v>0.15980898889101641</v>
      </c>
      <c r="J29" s="117">
        <f>'Income Statement'!J74</f>
        <v>0.16045166047221562</v>
      </c>
      <c r="K29" s="117">
        <f>'Income Statement'!K74</f>
        <v>0.15968288921672258</v>
      </c>
      <c r="L29" s="117">
        <f>'Income Statement'!L74</f>
        <v>0.16016458784522963</v>
      </c>
    </row>
    <row r="30" spans="1:12" s="114" customFormat="1" ht="15.6" x14ac:dyDescent="0.3">
      <c r="A30" s="109" t="s">
        <v>66</v>
      </c>
      <c r="B30" s="117">
        <f>'Income Statement'!B79</f>
        <v>0.16007870454134249</v>
      </c>
      <c r="C30" s="117">
        <f>'Income Statement'!C79</f>
        <v>0.15894904733166659</v>
      </c>
      <c r="D30" s="117">
        <f>'Income Statement'!D79</f>
        <v>0.19141671741778318</v>
      </c>
      <c r="E30" s="117">
        <f>'Income Statement'!E79</f>
        <v>0.16693019002004542</v>
      </c>
      <c r="F30" s="117">
        <f>'Income Statement'!F79</f>
        <v>0.17078622359849799</v>
      </c>
      <c r="G30" s="117">
        <f>'Income Statement'!G79</f>
        <v>0.1744886166692563</v>
      </c>
      <c r="H30" s="117">
        <f>'Income Statement'!H79</f>
        <v>0.16894834100836276</v>
      </c>
      <c r="I30" s="117">
        <f>'Income Statement'!I79</f>
        <v>0.16974233437689631</v>
      </c>
      <c r="J30" s="117">
        <f>'Income Statement'!J79</f>
        <v>0.16954127892674589</v>
      </c>
      <c r="K30" s="117">
        <f>'Income Statement'!K79</f>
        <v>0.16801941823014932</v>
      </c>
      <c r="L30" s="117">
        <f>'Income Statement'!L79</f>
        <v>0.16782095685888881</v>
      </c>
    </row>
    <row r="31" spans="1:12" s="114" customFormat="1" ht="15.6" x14ac:dyDescent="0.3">
      <c r="A31" s="109" t="s">
        <v>223</v>
      </c>
      <c r="B31" s="117">
        <f>'Income Statement'!B83</f>
        <v>0.10467161208612266</v>
      </c>
      <c r="C31" s="117">
        <f>'Income Statement'!C83</f>
        <v>0.12009224933183901</v>
      </c>
      <c r="D31" s="117">
        <f>'Income Statement'!D83</f>
        <v>0.14094320950060901</v>
      </c>
      <c r="E31" s="117">
        <f>'Income Statement'!E83</f>
        <v>0.12451785073820854</v>
      </c>
      <c r="F31" s="117">
        <f>'Income Statement'!F83</f>
        <v>0.12739417295113853</v>
      </c>
      <c r="G31" s="117">
        <f>'Income Statement'!G83</f>
        <v>0.12959685246884281</v>
      </c>
      <c r="H31" s="117">
        <f>'Income Statement'!H83</f>
        <v>0.12584281620918025</v>
      </c>
      <c r="I31" s="117">
        <f>'Income Statement'!I83</f>
        <v>0.1263738041713465</v>
      </c>
      <c r="J31" s="117">
        <f>'Income Statement'!J83</f>
        <v>0.1261436454300992</v>
      </c>
      <c r="K31" s="117">
        <f>'Income Statement'!K83</f>
        <v>0.12508444082068976</v>
      </c>
      <c r="L31" s="117">
        <f>'Income Statement'!L83</f>
        <v>0.12491456686365029</v>
      </c>
    </row>
    <row r="32" spans="1:12" s="114" customFormat="1" ht="15.6" x14ac:dyDescent="0.3">
      <c r="A32" s="116"/>
      <c r="B32" s="118"/>
      <c r="C32" s="118"/>
      <c r="D32" s="118"/>
      <c r="E32" s="118"/>
      <c r="F32" s="118"/>
      <c r="G32" s="118"/>
      <c r="H32" s="118"/>
      <c r="I32" s="118"/>
      <c r="J32" s="118"/>
      <c r="K32" s="118"/>
      <c r="L32" s="118"/>
    </row>
    <row r="33" spans="1:12" s="114" customFormat="1" ht="15.6" x14ac:dyDescent="0.3">
      <c r="A33" s="147" t="s">
        <v>232</v>
      </c>
      <c r="B33" s="146" t="str">
        <f>B26</f>
        <v>FY2019 A</v>
      </c>
      <c r="C33" s="146" t="str">
        <f t="shared" ref="C33:L33" si="3">C26</f>
        <v>FY2020 A</v>
      </c>
      <c r="D33" s="146" t="str">
        <f t="shared" si="3"/>
        <v>FY2021 A</v>
      </c>
      <c r="E33" s="146" t="str">
        <f t="shared" si="3"/>
        <v>FY2022 E</v>
      </c>
      <c r="F33" s="146" t="str">
        <f t="shared" si="3"/>
        <v>FY2023 E</v>
      </c>
      <c r="G33" s="146" t="str">
        <f t="shared" si="3"/>
        <v>FY2024 E</v>
      </c>
      <c r="H33" s="146" t="str">
        <f t="shared" si="3"/>
        <v>FY2025 E</v>
      </c>
      <c r="I33" s="146" t="str">
        <f t="shared" si="3"/>
        <v>FY2026 E</v>
      </c>
      <c r="J33" s="146" t="str">
        <f t="shared" si="3"/>
        <v>FY2027 E</v>
      </c>
      <c r="K33" s="146" t="str">
        <f t="shared" si="3"/>
        <v>FY2028 E</v>
      </c>
      <c r="L33" s="146" t="str">
        <f t="shared" si="3"/>
        <v>FY2029 E</v>
      </c>
    </row>
    <row r="34" spans="1:12" s="114" customFormat="1" ht="15.6" x14ac:dyDescent="0.3">
      <c r="A34" s="107" t="s">
        <v>233</v>
      </c>
      <c r="B34" s="117">
        <f>ABS('Income Statement'!B62)</f>
        <v>0.59354079971051199</v>
      </c>
      <c r="C34" s="117">
        <f>ABS('Income Statement'!C62)</f>
        <v>0.597247176480731</v>
      </c>
      <c r="D34" s="117">
        <f>ABS('Income Statement'!D62)</f>
        <v>0.58054202192448234</v>
      </c>
      <c r="E34" s="117">
        <f>ABS('Income Statement'!E62)</f>
        <v>0.59044333270524174</v>
      </c>
      <c r="F34" s="117">
        <f>ABS('Income Statement'!F62)</f>
        <v>0.58941084370348495</v>
      </c>
      <c r="G34" s="117">
        <f>ABS('Income Statement'!G62)</f>
        <v>0.58679873277773631</v>
      </c>
      <c r="H34" s="117">
        <f>ABS('Income Statement'!H62)</f>
        <v>0.58888430306215434</v>
      </c>
      <c r="I34" s="117">
        <f>ABS('Income Statement'!I62)</f>
        <v>0.58836462651445853</v>
      </c>
      <c r="J34" s="117">
        <f>ABS('Income Statement'!J62)</f>
        <v>0.58801588745144973</v>
      </c>
      <c r="K34" s="117">
        <f>ABS('Income Statement'!K62)</f>
        <v>0.58842160567602086</v>
      </c>
      <c r="L34" s="117">
        <f>ABS('Income Statement'!L62)</f>
        <v>0.58826737321397637</v>
      </c>
    </row>
    <row r="35" spans="1:12" s="114" customFormat="1" ht="15.6" x14ac:dyDescent="0.3">
      <c r="A35" s="107" t="s">
        <v>234</v>
      </c>
      <c r="B35" s="117">
        <f>'Income Statement'!B67</f>
        <v>4.6408539895060615E-2</v>
      </c>
      <c r="C35" s="117">
        <f>'Income Statement'!C67</f>
        <v>4.3796879041296664E-2</v>
      </c>
      <c r="D35" s="117">
        <f>'Income Statement'!D67</f>
        <v>4.3316077953714983E-2</v>
      </c>
      <c r="E35" s="117">
        <f>'Income Statement'!E67</f>
        <v>4.4507165630024083E-2</v>
      </c>
      <c r="F35" s="117">
        <f>'Income Statement'!F67</f>
        <v>4.3873374208345244E-2</v>
      </c>
      <c r="G35" s="117">
        <f>'Income Statement'!G67</f>
        <v>4.3898872597361437E-2</v>
      </c>
      <c r="H35" s="117">
        <f>'Income Statement'!H67</f>
        <v>4.4093137478576926E-2</v>
      </c>
      <c r="I35" s="117">
        <f>'Income Statement'!I67</f>
        <v>4.3955128094761202E-2</v>
      </c>
      <c r="J35" s="117">
        <f>'Income Statement'!J67</f>
        <v>4.3982379390233188E-2</v>
      </c>
      <c r="K35" s="117">
        <f>'Income Statement'!K67</f>
        <v>4.4010214987857101E-2</v>
      </c>
      <c r="L35" s="117">
        <f>'Income Statement'!L67</f>
        <v>4.3982574157617166E-2</v>
      </c>
    </row>
    <row r="36" spans="1:12" s="114" customFormat="1" ht="15.6" x14ac:dyDescent="0.3">
      <c r="A36" s="107" t="s">
        <v>235</v>
      </c>
      <c r="B36" s="117">
        <f>'Income Statement'!B66</f>
        <v>4.5322960014474396E-2</v>
      </c>
      <c r="C36" s="117">
        <f>'Income Statement'!C66</f>
        <v>4.0951806190188809E-2</v>
      </c>
      <c r="D36" s="117">
        <f>'Income Statement'!D66</f>
        <v>3.4409257003654083E-2</v>
      </c>
      <c r="E36" s="117">
        <f>'Income Statement'!E66</f>
        <v>4.0228007736105763E-2</v>
      </c>
      <c r="F36" s="117">
        <f>'Income Statement'!F66</f>
        <v>3.8529690309982885E-2</v>
      </c>
      <c r="G36" s="117">
        <f>'Income Statement'!G66</f>
        <v>3.7722318349914241E-2</v>
      </c>
      <c r="H36" s="117">
        <f>'Income Statement'!H66</f>
        <v>3.8826672132000965E-2</v>
      </c>
      <c r="I36" s="117">
        <f>'Income Statement'!I66</f>
        <v>3.835956026396603E-2</v>
      </c>
      <c r="J36" s="117">
        <f>'Income Statement'!J66</f>
        <v>3.8302850248627084E-2</v>
      </c>
      <c r="K36" s="117">
        <f>'Income Statement'!K66</f>
        <v>3.8496360881531362E-2</v>
      </c>
      <c r="L36" s="117">
        <f>'Income Statement'!L66</f>
        <v>3.8386257131374828E-2</v>
      </c>
    </row>
    <row r="37" spans="1:12" s="114" customFormat="1" ht="15.6" x14ac:dyDescent="0.3">
      <c r="A37" s="116"/>
      <c r="B37" s="118"/>
      <c r="C37" s="118"/>
      <c r="D37" s="118"/>
      <c r="E37" s="118"/>
      <c r="F37" s="118"/>
      <c r="G37" s="118"/>
      <c r="H37" s="118"/>
      <c r="I37" s="118"/>
      <c r="J37" s="118"/>
      <c r="K37" s="118"/>
      <c r="L37" s="118"/>
    </row>
    <row r="38" spans="1:12" s="114" customFormat="1" ht="15.6" x14ac:dyDescent="0.3">
      <c r="A38" s="116"/>
      <c r="B38" s="118"/>
      <c r="C38" s="118"/>
      <c r="D38" s="118"/>
      <c r="E38" s="118"/>
      <c r="F38" s="118"/>
      <c r="G38" s="118"/>
      <c r="H38" s="118"/>
      <c r="I38" s="118"/>
      <c r="J38" s="118"/>
      <c r="K38" s="118"/>
      <c r="L38" s="118"/>
    </row>
    <row r="39" spans="1:12" s="114" customFormat="1" ht="15.6" x14ac:dyDescent="0.3">
      <c r="A39" s="147" t="s">
        <v>26</v>
      </c>
      <c r="B39" s="146" t="str">
        <f t="shared" ref="B39:L39" si="4">B6</f>
        <v>FY2019 A</v>
      </c>
      <c r="C39" s="146" t="str">
        <f t="shared" si="4"/>
        <v>FY2020 A</v>
      </c>
      <c r="D39" s="146" t="str">
        <f t="shared" si="4"/>
        <v>FY2021 A</v>
      </c>
      <c r="E39" s="146" t="str">
        <f t="shared" si="4"/>
        <v>FY2022 E</v>
      </c>
      <c r="F39" s="146" t="str">
        <f t="shared" si="4"/>
        <v>FY2023 E</v>
      </c>
      <c r="G39" s="146" t="str">
        <f t="shared" si="4"/>
        <v>FY2024 E</v>
      </c>
      <c r="H39" s="146" t="str">
        <f t="shared" si="4"/>
        <v>FY2025 E</v>
      </c>
      <c r="I39" s="146" t="str">
        <f t="shared" si="4"/>
        <v>FY2026 E</v>
      </c>
      <c r="J39" s="146" t="str">
        <f t="shared" si="4"/>
        <v>FY2027 E</v>
      </c>
      <c r="K39" s="146" t="str">
        <f t="shared" si="4"/>
        <v>FY2028 E</v>
      </c>
      <c r="L39" s="146" t="str">
        <f t="shared" si="4"/>
        <v>FY2029 E</v>
      </c>
    </row>
    <row r="40" spans="1:12" s="114" customFormat="1" ht="15.6" x14ac:dyDescent="0.3">
      <c r="A40" s="107" t="s">
        <v>73</v>
      </c>
      <c r="B40" s="117">
        <f>'Income Statement'!B25/('Balance Sheet'!B33-'Balance Sheet'!B43)</f>
        <v>0.35830822178338695</v>
      </c>
      <c r="C40" s="117">
        <f>'Income Statement'!C25/('Balance Sheet'!C33-'Balance Sheet'!C43)</f>
        <v>0.31414477736107949</v>
      </c>
      <c r="D40" s="117">
        <f>'Income Statement'!D25/('Balance Sheet'!D33-'Balance Sheet'!D43)</f>
        <v>0.52614512198174535</v>
      </c>
      <c r="E40" s="117">
        <f>'Income Statement'!E25/('Balance Sheet'!E33-'Balance Sheet'!E43)</f>
        <v>0.39020240668215794</v>
      </c>
      <c r="F40" s="117">
        <f>'Income Statement'!F25/('Balance Sheet'!F33-'Balance Sheet'!F43)</f>
        <v>0.35211088594401557</v>
      </c>
      <c r="G40" s="117">
        <f>'Income Statement'!G25/('Balance Sheet'!G33-'Balance Sheet'!G43)</f>
        <v>0.32500246668314536</v>
      </c>
      <c r="H40" s="117">
        <f>'Income Statement'!H25/('Balance Sheet'!H33-'Balance Sheet'!H43)</f>
        <v>0.28965262277191584</v>
      </c>
      <c r="I40" s="117">
        <f>'Income Statement'!I25/('Balance Sheet'!I33-'Balance Sheet'!I43)</f>
        <v>0.27167714808124094</v>
      </c>
      <c r="J40" s="117">
        <f>'Income Statement'!J25/('Balance Sheet'!J33-'Balance Sheet'!J43)</f>
        <v>0.25602593268396018</v>
      </c>
      <c r="K40" s="117">
        <f>'Income Statement'!K25/('Balance Sheet'!K33-'Balance Sheet'!K43)</f>
        <v>0.24148161247257735</v>
      </c>
      <c r="L40" s="117">
        <f>'Income Statement'!L25/('Balance Sheet'!L33-'Balance Sheet'!L43)</f>
        <v>0.2311662723087603</v>
      </c>
    </row>
    <row r="41" spans="1:12" s="114" customFormat="1" ht="15.6" x14ac:dyDescent="0.3">
      <c r="A41" s="107" t="s">
        <v>315</v>
      </c>
      <c r="B41" s="242">
        <f>'Income Statement'!B7/('Balance Sheet'!B20)</f>
        <v>7.1985829458575914</v>
      </c>
      <c r="C41" s="242">
        <f>'Income Statement'!C7/('Balance Sheet'!C20)</f>
        <v>6.7578668935019843</v>
      </c>
      <c r="D41" s="242">
        <f>'Income Statement'!D7/('Balance Sheet'!D20)</f>
        <v>8.0376919782169747</v>
      </c>
      <c r="E41" s="242">
        <f>'Income Statement'!E7/('Balance Sheet'!E20)</f>
        <v>8.911724608119485</v>
      </c>
      <c r="F41" s="242">
        <f>'Income Statement'!F7/('Balance Sheet'!F20)</f>
        <v>9.766056538297363</v>
      </c>
      <c r="G41" s="242">
        <f>'Income Statement'!G7/('Balance Sheet'!G20)</f>
        <v>10.688108339093874</v>
      </c>
      <c r="H41" s="242">
        <f>'Income Statement'!H7/('Balance Sheet'!H20)</f>
        <v>11.746375656430484</v>
      </c>
      <c r="I41" s="242">
        <f>'Income Statement'!I7/('Balance Sheet'!I20)</f>
        <v>12.854290280759598</v>
      </c>
      <c r="J41" s="242">
        <f>'Income Statement'!J7/('Balance Sheet'!J20)</f>
        <v>14.059736563189194</v>
      </c>
      <c r="K41" s="242">
        <f>'Income Statement'!K7/('Balance Sheet'!K20)</f>
        <v>15.37674099350348</v>
      </c>
      <c r="L41" s="242">
        <f>'Income Statement'!L7/('Balance Sheet'!L20)</f>
        <v>16.781465548968008</v>
      </c>
    </row>
    <row r="42" spans="1:12" s="114" customFormat="1" ht="15.6" x14ac:dyDescent="0.3">
      <c r="A42" s="107" t="s">
        <v>227</v>
      </c>
      <c r="B42" s="117">
        <f>'Income Statement'!B41/'Balance Sheet'!B59</f>
        <v>0.27085836679553793</v>
      </c>
      <c r="C42" s="117">
        <f>'Income Statement'!C41/'Balance Sheet'!C59</f>
        <v>0.31498846451938517</v>
      </c>
      <c r="D42" s="117">
        <f>'Income Statement'!D41/'Balance Sheet'!D59</f>
        <v>0.51616350446428561</v>
      </c>
      <c r="E42" s="117">
        <f>'Income Statement'!E41/'Balance Sheet'!E59</f>
        <v>0.37033818977619504</v>
      </c>
      <c r="F42" s="117">
        <f>'Income Statement'!F41/'Balance Sheet'!F59</f>
        <v>0.3214041889872406</v>
      </c>
      <c r="G42" s="117">
        <f>'Income Statement'!G41/'Balance Sheet'!G59</f>
        <v>0.28604678703383446</v>
      </c>
      <c r="H42" s="117">
        <f>'Income Statement'!H41/'Balance Sheet'!H59</f>
        <v>0.2504411864727718</v>
      </c>
      <c r="I42" s="117">
        <f>'Income Statement'!I41/'Balance Sheet'!I59</f>
        <v>0.23052799015241082</v>
      </c>
      <c r="J42" s="117">
        <f>'Income Statement'!J41/'Balance Sheet'!J59</f>
        <v>0.21381425208352631</v>
      </c>
      <c r="K42" s="117">
        <f>'Income Statement'!K41/'Balance Sheet'!K59</f>
        <v>0.19931753731425861</v>
      </c>
      <c r="L42" s="117">
        <f>'Income Statement'!L41/'Balance Sheet'!L59</f>
        <v>0.18871051062265992</v>
      </c>
    </row>
    <row r="43" spans="1:12" s="114" customFormat="1" ht="15.6" x14ac:dyDescent="0.3">
      <c r="A43" s="116"/>
      <c r="B43" s="118"/>
      <c r="C43" s="118"/>
      <c r="D43" s="118"/>
      <c r="E43" s="118"/>
      <c r="F43" s="118"/>
      <c r="G43" s="118"/>
      <c r="H43" s="118"/>
      <c r="I43" s="118"/>
      <c r="J43" s="118"/>
      <c r="K43" s="118"/>
      <c r="L43" s="118"/>
    </row>
    <row r="44" spans="1:12" s="114" customFormat="1" ht="15.6" x14ac:dyDescent="0.3">
      <c r="A44" s="147" t="s">
        <v>225</v>
      </c>
      <c r="B44" s="146" t="str">
        <f t="shared" ref="B44:L44" si="5">B6</f>
        <v>FY2019 A</v>
      </c>
      <c r="C44" s="146" t="str">
        <f t="shared" si="5"/>
        <v>FY2020 A</v>
      </c>
      <c r="D44" s="146" t="str">
        <f t="shared" si="5"/>
        <v>FY2021 A</v>
      </c>
      <c r="E44" s="146" t="str">
        <f t="shared" si="5"/>
        <v>FY2022 E</v>
      </c>
      <c r="F44" s="146" t="str">
        <f t="shared" si="5"/>
        <v>FY2023 E</v>
      </c>
      <c r="G44" s="146" t="str">
        <f t="shared" si="5"/>
        <v>FY2024 E</v>
      </c>
      <c r="H44" s="146" t="str">
        <f t="shared" si="5"/>
        <v>FY2025 E</v>
      </c>
      <c r="I44" s="146" t="str">
        <f t="shared" si="5"/>
        <v>FY2026 E</v>
      </c>
      <c r="J44" s="146" t="str">
        <f t="shared" si="5"/>
        <v>FY2027 E</v>
      </c>
      <c r="K44" s="146" t="str">
        <f t="shared" si="5"/>
        <v>FY2028 E</v>
      </c>
      <c r="L44" s="146" t="str">
        <f t="shared" si="5"/>
        <v>FY2029 E</v>
      </c>
    </row>
    <row r="45" spans="1:12" s="114" customFormat="1" ht="15.6" x14ac:dyDescent="0.3">
      <c r="A45" s="107" t="s">
        <v>223</v>
      </c>
      <c r="B45" s="117">
        <f>'Income Statement'!B83</f>
        <v>0.10467161208612266</v>
      </c>
      <c r="C45" s="117">
        <f>'Income Statement'!C83</f>
        <v>0.12009224933183901</v>
      </c>
      <c r="D45" s="117">
        <f>'Income Statement'!D83</f>
        <v>0.14094320950060901</v>
      </c>
      <c r="E45" s="117">
        <f>'Income Statement'!E83</f>
        <v>0.12451785073820854</v>
      </c>
      <c r="F45" s="117">
        <f>'Income Statement'!F83</f>
        <v>0.12739417295113853</v>
      </c>
      <c r="G45" s="117">
        <f>'Income Statement'!G83</f>
        <v>0.12959685246884281</v>
      </c>
      <c r="H45" s="117">
        <f>'Income Statement'!H83</f>
        <v>0.12584281620918025</v>
      </c>
      <c r="I45" s="117">
        <f>'Income Statement'!I83</f>
        <v>0.1263738041713465</v>
      </c>
      <c r="J45" s="117">
        <f>'Income Statement'!J83</f>
        <v>0.1261436454300992</v>
      </c>
      <c r="K45" s="117">
        <f>'Income Statement'!K83</f>
        <v>0.12508444082068976</v>
      </c>
      <c r="L45" s="117">
        <f>'Income Statement'!L83</f>
        <v>0.12491456686365029</v>
      </c>
    </row>
    <row r="46" spans="1:12" s="114" customFormat="1" ht="15.6" x14ac:dyDescent="0.3">
      <c r="A46" s="107" t="s">
        <v>226</v>
      </c>
      <c r="B46" s="242">
        <f>B41</f>
        <v>7.1985829458575914</v>
      </c>
      <c r="C46" s="242">
        <f t="shared" ref="C46:L46" si="6">C41</f>
        <v>6.7578668935019843</v>
      </c>
      <c r="D46" s="242">
        <f t="shared" si="6"/>
        <v>8.0376919782169747</v>
      </c>
      <c r="E46" s="242">
        <f t="shared" si="6"/>
        <v>8.911724608119485</v>
      </c>
      <c r="F46" s="242">
        <f t="shared" si="6"/>
        <v>9.766056538297363</v>
      </c>
      <c r="G46" s="242">
        <f t="shared" si="6"/>
        <v>10.688108339093874</v>
      </c>
      <c r="H46" s="242">
        <f t="shared" si="6"/>
        <v>11.746375656430484</v>
      </c>
      <c r="I46" s="242">
        <f t="shared" si="6"/>
        <v>12.854290280759598</v>
      </c>
      <c r="J46" s="242">
        <f t="shared" si="6"/>
        <v>14.059736563189194</v>
      </c>
      <c r="K46" s="242">
        <f t="shared" si="6"/>
        <v>15.37674099350348</v>
      </c>
      <c r="L46" s="242">
        <f t="shared" si="6"/>
        <v>16.781465548968008</v>
      </c>
    </row>
    <row r="47" spans="1:12" s="114" customFormat="1" ht="15.6" x14ac:dyDescent="0.3">
      <c r="A47" s="107" t="s">
        <v>186</v>
      </c>
      <c r="B47" s="243">
        <f>'Balance Sheet'!B51/'Balance Sheet'!B59</f>
        <v>2.4377439668869998E-2</v>
      </c>
      <c r="C47" s="243">
        <f>'Balance Sheet'!C51/'Balance Sheet'!C59</f>
        <v>0.18890476018817254</v>
      </c>
      <c r="D47" s="243">
        <f>'Balance Sheet'!D51/'Balance Sheet'!D59</f>
        <v>0.22614676339285714</v>
      </c>
      <c r="E47" s="243">
        <f>'Balance Sheet'!E51/'Balance Sheet'!E59</f>
        <v>0.16835872313758435</v>
      </c>
      <c r="F47" s="243">
        <f>'Balance Sheet'!F51/'Balance Sheet'!F59</f>
        <v>0.13102199591800009</v>
      </c>
      <c r="G47" s="243">
        <f>'Balance Sheet'!G51/'Balance Sheet'!G59</f>
        <v>0.10516188545345825</v>
      </c>
      <c r="H47" s="243">
        <f>'Balance Sheet'!H51/'Balance Sheet'!H59</f>
        <v>8.6989446971830572E-2</v>
      </c>
      <c r="I47" s="243">
        <f>'Balance Sheet'!I51/'Balance Sheet'!I59</f>
        <v>7.3152530333159341E-2</v>
      </c>
      <c r="J47" s="243">
        <f>'Balance Sheet'!J51/'Balance Sheet'!J59</f>
        <v>6.2360203375930012E-2</v>
      </c>
      <c r="K47" s="243">
        <f>'Balance Sheet'!K51/'Balance Sheet'!K59</f>
        <v>5.3783860683248398E-2</v>
      </c>
      <c r="L47" s="243">
        <f>'Balance Sheet'!L51/'Balance Sheet'!L59</f>
        <v>4.678065061242067E-2</v>
      </c>
    </row>
    <row r="48" spans="1:12" s="114" customFormat="1" ht="15.6" x14ac:dyDescent="0.3">
      <c r="A48" s="107" t="s">
        <v>227</v>
      </c>
      <c r="B48" s="117">
        <f>B42</f>
        <v>0.27085836679553793</v>
      </c>
      <c r="C48" s="117">
        <f t="shared" ref="C48:L48" si="7">C42</f>
        <v>0.31498846451938517</v>
      </c>
      <c r="D48" s="117">
        <f t="shared" si="7"/>
        <v>0.51616350446428561</v>
      </c>
      <c r="E48" s="117">
        <f t="shared" si="7"/>
        <v>0.37033818977619504</v>
      </c>
      <c r="F48" s="117">
        <f t="shared" si="7"/>
        <v>0.3214041889872406</v>
      </c>
      <c r="G48" s="117">
        <f t="shared" si="7"/>
        <v>0.28604678703383446</v>
      </c>
      <c r="H48" s="117">
        <f t="shared" si="7"/>
        <v>0.2504411864727718</v>
      </c>
      <c r="I48" s="117">
        <f t="shared" si="7"/>
        <v>0.23052799015241082</v>
      </c>
      <c r="J48" s="117">
        <f t="shared" si="7"/>
        <v>0.21381425208352631</v>
      </c>
      <c r="K48" s="117">
        <f t="shared" si="7"/>
        <v>0.19931753731425861</v>
      </c>
      <c r="L48" s="117">
        <f t="shared" si="7"/>
        <v>0.18871051062265992</v>
      </c>
    </row>
    <row r="49" spans="1:12" s="114" customFormat="1" ht="15.6" x14ac:dyDescent="0.3">
      <c r="A49" s="116"/>
      <c r="B49" s="118"/>
      <c r="C49" s="118"/>
      <c r="D49" s="118"/>
      <c r="E49" s="118"/>
      <c r="F49" s="118"/>
      <c r="G49" s="118"/>
      <c r="H49" s="118"/>
      <c r="I49" s="118"/>
      <c r="J49" s="118"/>
      <c r="K49" s="118"/>
      <c r="L49" s="118"/>
    </row>
    <row r="50" spans="1:12" s="114" customFormat="1" ht="15.6" x14ac:dyDescent="0.3">
      <c r="A50" s="147" t="s">
        <v>160</v>
      </c>
      <c r="B50" s="146" t="str">
        <f t="shared" ref="B50:L50" si="8">B6</f>
        <v>FY2019 A</v>
      </c>
      <c r="C50" s="146" t="str">
        <f t="shared" si="8"/>
        <v>FY2020 A</v>
      </c>
      <c r="D50" s="146" t="str">
        <f t="shared" si="8"/>
        <v>FY2021 A</v>
      </c>
      <c r="E50" s="146" t="str">
        <f t="shared" si="8"/>
        <v>FY2022 E</v>
      </c>
      <c r="F50" s="146" t="str">
        <f t="shared" si="8"/>
        <v>FY2023 E</v>
      </c>
      <c r="G50" s="146" t="str">
        <f t="shared" si="8"/>
        <v>FY2024 E</v>
      </c>
      <c r="H50" s="146" t="str">
        <f t="shared" si="8"/>
        <v>FY2025 E</v>
      </c>
      <c r="I50" s="146" t="str">
        <f t="shared" si="8"/>
        <v>FY2026 E</v>
      </c>
      <c r="J50" s="146" t="str">
        <f t="shared" si="8"/>
        <v>FY2027 E</v>
      </c>
      <c r="K50" s="146" t="str">
        <f t="shared" si="8"/>
        <v>FY2028 E</v>
      </c>
      <c r="L50" s="146" t="str">
        <f t="shared" si="8"/>
        <v>FY2029 E</v>
      </c>
    </row>
    <row r="51" spans="1:12" s="114" customFormat="1" ht="15.6" x14ac:dyDescent="0.3">
      <c r="A51" s="109" t="s">
        <v>69</v>
      </c>
      <c r="B51" s="109">
        <f>365/('Income Statement'!B7/'Balance Sheet'!B11)</f>
        <v>13.017694952053555</v>
      </c>
      <c r="C51" s="109">
        <f>365/('Income Statement'!C7/'Balance Sheet'!C11)</f>
        <v>10.081162169152513</v>
      </c>
      <c r="D51" s="109">
        <f>365/('Income Statement'!D7/'Balance Sheet'!D11)</f>
        <v>7.148565012180268</v>
      </c>
      <c r="E51" s="109">
        <f>365/('Income Statement'!E7/'Balance Sheet'!E11)</f>
        <v>9.4966267697554816</v>
      </c>
      <c r="F51" s="109">
        <f>365/('Income Statement'!F7/'Balance Sheet'!F11)</f>
        <v>8.7112143076933428</v>
      </c>
      <c r="G51" s="109">
        <f>365/('Income Statement'!G7/'Balance Sheet'!G11)</f>
        <v>8.3337194340812921</v>
      </c>
      <c r="H51" s="109">
        <f>365/('Income Statement'!H7/'Balance Sheet'!H11)</f>
        <v>8.8212061515407107</v>
      </c>
      <c r="I51" s="109">
        <f>365/('Income Statement'!I7/'Balance Sheet'!I11)</f>
        <v>8.6169214597047485</v>
      </c>
      <c r="J51" s="109">
        <f>365/('Income Statement'!J7/'Balance Sheet'!J11)</f>
        <v>8.5859425038150583</v>
      </c>
      <c r="K51" s="109">
        <f>365/('Income Statement'!K7/'Balance Sheet'!K11)</f>
        <v>8.6734441581094686</v>
      </c>
      <c r="L51" s="109">
        <f>365/('Income Statement'!L7/'Balance Sheet'!L11)</f>
        <v>8.6252841086442178</v>
      </c>
    </row>
    <row r="52" spans="1:12" s="114" customFormat="1" ht="15.6" x14ac:dyDescent="0.3">
      <c r="A52" s="109" t="s">
        <v>70</v>
      </c>
      <c r="B52" s="109">
        <f>(ABS('Balance Sheet'!B12/'Income Statement'!B13)*365)</f>
        <v>43.46954732510288</v>
      </c>
      <c r="C52" s="109">
        <f>(ABS('Balance Sheet'!C12/'Income Statement'!C13)*365)</f>
        <v>39.040284548327172</v>
      </c>
      <c r="D52" s="109">
        <f>(ABS('Balance Sheet'!D12/'Income Statement'!D13)*365)</f>
        <v>52.24152242328875</v>
      </c>
      <c r="E52" s="109">
        <f>(ABS('Balance Sheet'!E12/'Income Statement'!E13)*365)</f>
        <v>44.273228689129596</v>
      </c>
      <c r="F52" s="109">
        <f>(ABS('Balance Sheet'!F12/'Income Statement'!F13)*365)</f>
        <v>44.54776732295138</v>
      </c>
      <c r="G52" s="109">
        <f>(ABS('Balance Sheet'!G12/'Income Statement'!G13)*365)</f>
        <v>46.745945366190476</v>
      </c>
      <c r="H52" s="109">
        <f>(ABS('Balance Sheet'!H12/'Income Statement'!H13)*365)</f>
        <v>45.162319942032205</v>
      </c>
      <c r="I52" s="109">
        <f>(ABS('Balance Sheet'!I12/'Income Statement'!I13)*365)</f>
        <v>45.466672572881109</v>
      </c>
      <c r="J52" s="109">
        <f>(ABS('Balance Sheet'!J12/'Income Statement'!J13)*365)</f>
        <v>45.781456931724613</v>
      </c>
      <c r="K52" s="109">
        <f>(ABS('Balance Sheet'!K12/'Income Statement'!K13)*365)</f>
        <v>45.468744758821849</v>
      </c>
      <c r="L52" s="109">
        <f>(ABS('Balance Sheet'!L12/'Income Statement'!L13)*365)</f>
        <v>45.571812495470596</v>
      </c>
    </row>
    <row r="53" spans="1:12" s="114" customFormat="1" ht="15.6" x14ac:dyDescent="0.3">
      <c r="A53" s="109" t="s">
        <v>71</v>
      </c>
      <c r="B53" s="109">
        <f>365/('Income Statement'!B7/'Balance Sheet'!B37)</f>
        <v>37.659322417224537</v>
      </c>
      <c r="C53" s="109">
        <f>365/('Income Statement'!C7/'Balance Sheet'!C37)</f>
        <v>35.127355806535043</v>
      </c>
      <c r="D53" s="109">
        <f>365/('Income Statement'!D7/'Balance Sheet'!D37)</f>
        <v>36.531954171741774</v>
      </c>
      <c r="E53" s="109">
        <f>365/('Income Statement'!E7/'Balance Sheet'!E37)</f>
        <v>36.406308225825022</v>
      </c>
      <c r="F53" s="109">
        <f>365/('Income Statement'!F7/'Balance Sheet'!F37)</f>
        <v>36.004195515670425</v>
      </c>
      <c r="G53" s="109">
        <f>365/('Income Statement'!G7/'Balance Sheet'!G37)</f>
        <v>36.311709684167916</v>
      </c>
      <c r="H53" s="109">
        <f>365/('Income Statement'!H7/'Balance Sheet'!H37)</f>
        <v>36.239913440442514</v>
      </c>
      <c r="I53" s="109">
        <f>365/('Income Statement'!I7/'Balance Sheet'!I37)</f>
        <v>36.184591531358834</v>
      </c>
      <c r="J53" s="109">
        <f>365/('Income Statement'!J7/'Balance Sheet'!J37)</f>
        <v>36.245269771008317</v>
      </c>
      <c r="K53" s="109">
        <f>365/('Income Statement'!K7/'Balance Sheet'!K37)</f>
        <v>36.223238024297586</v>
      </c>
      <c r="L53" s="109">
        <f>365/('Income Statement'!L7/'Balance Sheet'!L37)</f>
        <v>36.217677137126103</v>
      </c>
    </row>
    <row r="54" spans="1:12" s="114" customFormat="1" ht="15.6" x14ac:dyDescent="0.3">
      <c r="A54" s="119" t="s">
        <v>72</v>
      </c>
      <c r="B54" s="109">
        <f>B52+B51-B53</f>
        <v>18.827919859931896</v>
      </c>
      <c r="C54" s="109">
        <f t="shared" ref="C54:L54" si="9">C52+C51-C53</f>
        <v>13.994090910944642</v>
      </c>
      <c r="D54" s="109">
        <f t="shared" si="9"/>
        <v>22.858133263727247</v>
      </c>
      <c r="E54" s="109">
        <f t="shared" si="9"/>
        <v>17.363547233060054</v>
      </c>
      <c r="F54" s="109">
        <f t="shared" si="9"/>
        <v>17.254786114974301</v>
      </c>
      <c r="G54" s="109">
        <f t="shared" si="9"/>
        <v>18.767955116103856</v>
      </c>
      <c r="H54" s="109">
        <f t="shared" si="9"/>
        <v>17.743612653130405</v>
      </c>
      <c r="I54" s="109">
        <f t="shared" si="9"/>
        <v>17.899002501227024</v>
      </c>
      <c r="J54" s="109">
        <f t="shared" si="9"/>
        <v>18.12212966453135</v>
      </c>
      <c r="K54" s="109">
        <f t="shared" si="9"/>
        <v>17.918950892633731</v>
      </c>
      <c r="L54" s="109">
        <f t="shared" si="9"/>
        <v>17.979419466988709</v>
      </c>
    </row>
    <row r="55" spans="1:12" s="114" customFormat="1" ht="15.6" x14ac:dyDescent="0.3">
      <c r="A55" s="120"/>
      <c r="B55" s="120"/>
      <c r="C55" s="120"/>
      <c r="D55" s="120"/>
      <c r="E55" s="120"/>
      <c r="F55" s="120"/>
      <c r="G55" s="120"/>
      <c r="H55" s="120"/>
      <c r="I55" s="120"/>
      <c r="J55" s="120"/>
      <c r="K55" s="120"/>
      <c r="L55" s="120"/>
    </row>
    <row r="56" spans="1:12" s="114" customFormat="1" ht="15.6" x14ac:dyDescent="0.3">
      <c r="A56" s="147" t="s">
        <v>224</v>
      </c>
      <c r="B56" s="146" t="str">
        <f t="shared" ref="B56:L56" si="10">B6</f>
        <v>FY2019 A</v>
      </c>
      <c r="C56" s="146" t="str">
        <f t="shared" si="10"/>
        <v>FY2020 A</v>
      </c>
      <c r="D56" s="146" t="str">
        <f t="shared" si="10"/>
        <v>FY2021 A</v>
      </c>
      <c r="E56" s="146" t="str">
        <f t="shared" si="10"/>
        <v>FY2022 E</v>
      </c>
      <c r="F56" s="146" t="str">
        <f t="shared" si="10"/>
        <v>FY2023 E</v>
      </c>
      <c r="G56" s="146" t="str">
        <f t="shared" si="10"/>
        <v>FY2024 E</v>
      </c>
      <c r="H56" s="146" t="str">
        <f t="shared" si="10"/>
        <v>FY2025 E</v>
      </c>
      <c r="I56" s="146" t="str">
        <f t="shared" si="10"/>
        <v>FY2026 E</v>
      </c>
      <c r="J56" s="146" t="str">
        <f t="shared" si="10"/>
        <v>FY2027 E</v>
      </c>
      <c r="K56" s="146" t="str">
        <f t="shared" si="10"/>
        <v>FY2028 E</v>
      </c>
      <c r="L56" s="146" t="str">
        <f t="shared" si="10"/>
        <v>FY2029 E</v>
      </c>
    </row>
    <row r="57" spans="1:12" s="114" customFormat="1" ht="15.6" x14ac:dyDescent="0.3">
      <c r="A57" s="107" t="s">
        <v>228</v>
      </c>
      <c r="B57" s="121">
        <f>ABS(('Income Statement'!B23)/'Income Statement'!B26)</f>
        <v>190.86908690869086</v>
      </c>
      <c r="C57" s="121">
        <f>ABS(('Income Statement'!C23)/'Income Statement'!C26)</f>
        <v>23.960078023407029</v>
      </c>
      <c r="D57" s="121">
        <f>ABS(('Income Statement'!D23)/'Income Statement'!D26)</f>
        <v>22.633002705139763</v>
      </c>
      <c r="E57" s="121">
        <f>ABS(('Income Statement'!E23)/'Income Statement'!E26)</f>
        <v>20.480642619008371</v>
      </c>
      <c r="F57" s="121">
        <f>ABS(('Income Statement'!F23)/'Income Statement'!F26)</f>
        <v>24.171664472482519</v>
      </c>
      <c r="G57" s="121">
        <f>ABS(('Income Statement'!G23)/'Income Statement'!G26)</f>
        <v>26.613388109578402</v>
      </c>
      <c r="H57" s="121">
        <f>ABS(('Income Statement'!H23)/'Income Statement'!H26)</f>
        <v>28.059125322571077</v>
      </c>
      <c r="I57" s="121">
        <f>ABS(('Income Statement'!I23)/'Income Statement'!I26)</f>
        <v>31.166664512798057</v>
      </c>
      <c r="J57" s="121">
        <f>ABS(('Income Statement'!J23)/'Income Statement'!J26)</f>
        <v>33.9230302043404</v>
      </c>
      <c r="K57" s="121">
        <f>ABS(('Income Statement'!K23)/'Income Statement'!K26)</f>
        <v>36.779574749416803</v>
      </c>
      <c r="L57" s="121">
        <f>ABS(('Income Statement'!L23)/'Income Statement'!L26)</f>
        <v>40.25161103208999</v>
      </c>
    </row>
    <row r="58" spans="1:12" s="114" customFormat="1" ht="15.6" x14ac:dyDescent="0.3">
      <c r="A58" s="110" t="s">
        <v>229</v>
      </c>
      <c r="B58" s="121">
        <f>B47</f>
        <v>2.4377439668869998E-2</v>
      </c>
      <c r="C58" s="121">
        <f t="shared" ref="C58:L58" si="11">C47</f>
        <v>0.18890476018817254</v>
      </c>
      <c r="D58" s="121">
        <f t="shared" si="11"/>
        <v>0.22614676339285714</v>
      </c>
      <c r="E58" s="121">
        <f t="shared" si="11"/>
        <v>0.16835872313758435</v>
      </c>
      <c r="F58" s="121">
        <f t="shared" si="11"/>
        <v>0.13102199591800009</v>
      </c>
      <c r="G58" s="121">
        <f t="shared" si="11"/>
        <v>0.10516188545345825</v>
      </c>
      <c r="H58" s="121">
        <f t="shared" si="11"/>
        <v>8.6989446971830572E-2</v>
      </c>
      <c r="I58" s="121">
        <f t="shared" si="11"/>
        <v>7.3152530333159341E-2</v>
      </c>
      <c r="J58" s="121">
        <f t="shared" si="11"/>
        <v>6.2360203375930012E-2</v>
      </c>
      <c r="K58" s="121">
        <f t="shared" si="11"/>
        <v>5.3783860683248398E-2</v>
      </c>
      <c r="L58" s="121">
        <f t="shared" si="11"/>
        <v>4.678065061242067E-2</v>
      </c>
    </row>
    <row r="59" spans="1:12" s="114" customFormat="1" ht="15.6" x14ac:dyDescent="0.3">
      <c r="A59" s="109"/>
      <c r="B59" s="115"/>
      <c r="C59" s="115"/>
      <c r="D59" s="115"/>
      <c r="E59" s="115"/>
      <c r="F59" s="115"/>
      <c r="G59" s="115"/>
      <c r="H59" s="115"/>
      <c r="I59" s="115"/>
      <c r="J59" s="115"/>
      <c r="K59" s="115"/>
      <c r="L59" s="115"/>
    </row>
    <row r="60" spans="1:12" s="114" customFormat="1" ht="15.6" x14ac:dyDescent="0.3">
      <c r="A60" s="147" t="s">
        <v>230</v>
      </c>
      <c r="B60" s="146" t="str">
        <f>B6</f>
        <v>FY2019 A</v>
      </c>
      <c r="C60" s="146" t="str">
        <f t="shared" ref="C60:L60" si="12">C6</f>
        <v>FY2020 A</v>
      </c>
      <c r="D60" s="146" t="str">
        <f t="shared" si="12"/>
        <v>FY2021 A</v>
      </c>
      <c r="E60" s="146" t="str">
        <f t="shared" si="12"/>
        <v>FY2022 E</v>
      </c>
      <c r="F60" s="146" t="str">
        <f t="shared" si="12"/>
        <v>FY2023 E</v>
      </c>
      <c r="G60" s="146" t="str">
        <f t="shared" si="12"/>
        <v>FY2024 E</v>
      </c>
      <c r="H60" s="146" t="str">
        <f t="shared" si="12"/>
        <v>FY2025 E</v>
      </c>
      <c r="I60" s="146" t="str">
        <f t="shared" si="12"/>
        <v>FY2026 E</v>
      </c>
      <c r="J60" s="146" t="str">
        <f t="shared" si="12"/>
        <v>FY2027 E</v>
      </c>
      <c r="K60" s="146" t="str">
        <f t="shared" si="12"/>
        <v>FY2028 E</v>
      </c>
      <c r="L60" s="146" t="str">
        <f t="shared" si="12"/>
        <v>FY2029 E</v>
      </c>
    </row>
    <row r="61" spans="1:12" s="114" customFormat="1" ht="15.6" x14ac:dyDescent="0.3">
      <c r="A61" s="109" t="s">
        <v>231</v>
      </c>
      <c r="B61" s="109">
        <f>'Income Statement'!B7/'Company Overview'!B16</f>
        <v>6.5996787925465528</v>
      </c>
      <c r="C61" s="109">
        <f>'Income Statement'!C7/'Company Overview'!C16</f>
        <v>10.452657096253844</v>
      </c>
      <c r="D61" s="109">
        <f>'Income Statement'!D7/'Company Overview'!D16</f>
        <v>16.309705615773336</v>
      </c>
      <c r="E61" s="109">
        <f>'Income Statement'!E7/'Company Overview'!E16</f>
        <v>6.9812964212715132</v>
      </c>
      <c r="F61" s="109">
        <f>'Income Statement'!F7/'Company Overview'!F16</f>
        <v>4.565741431413441</v>
      </c>
      <c r="G61" s="109">
        <f>'Income Statement'!G7/'Company Overview'!G16</f>
        <v>3.4492912742132997</v>
      </c>
      <c r="H61" s="109">
        <f>'Income Statement'!H7/'Company Overview'!H16</f>
        <v>2.835259406484115</v>
      </c>
      <c r="I61" s="109">
        <f>'Income Statement'!I7/'Company Overview'!I16</f>
        <v>2.4374774119876004</v>
      </c>
      <c r="J61" s="109">
        <f>'Income Statement'!J7/'Company Overview'!J16</f>
        <v>2.1605187828983752</v>
      </c>
      <c r="K61" s="109">
        <f>'Income Statement'!K7/'Company Overview'!K16</f>
        <v>1.9594617588351473</v>
      </c>
      <c r="L61" s="109">
        <f>'Income Statement'!L7/'Company Overview'!L16</f>
        <v>1.8061933327698034</v>
      </c>
    </row>
    <row r="62" spans="1:12" x14ac:dyDescent="0.3">
      <c r="A62" s="50"/>
      <c r="B62" s="50"/>
      <c r="C62" s="50"/>
      <c r="D62" s="50"/>
      <c r="E62" s="50"/>
      <c r="F62" s="50"/>
      <c r="G62" s="50"/>
      <c r="H62" s="50"/>
      <c r="I62" s="50"/>
      <c r="J62" s="50"/>
      <c r="K62" s="50"/>
      <c r="L62" s="50"/>
    </row>
    <row r="73" spans="4:4" x14ac:dyDescent="0.3">
      <c r="D73" s="104"/>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M62"/>
  <sheetViews>
    <sheetView showGridLines="0" zoomScale="67" zoomScaleNormal="40" workbookViewId="0">
      <selection activeCell="B28" sqref="B28"/>
    </sheetView>
  </sheetViews>
  <sheetFormatPr defaultColWidth="9.109375" defaultRowHeight="19.2" customHeight="1" x14ac:dyDescent="0.2"/>
  <cols>
    <col min="1" max="1" width="52.6640625" style="4" bestFit="1" customWidth="1"/>
    <col min="2" max="2" width="15.88671875" style="4" customWidth="1"/>
    <col min="3" max="3" width="15.44140625" style="4" customWidth="1"/>
    <col min="4" max="4" width="15.21875" style="4" customWidth="1"/>
    <col min="5" max="12" width="12.77734375" style="4" customWidth="1"/>
    <col min="13" max="13" width="9.33203125" style="4" customWidth="1"/>
    <col min="14" max="16384" width="9.109375" style="4"/>
  </cols>
  <sheetData>
    <row r="1" spans="1:13" ht="35.25" customHeight="1" x14ac:dyDescent="0.2">
      <c r="A1" s="51" t="str">
        <f>Dashboard!A1</f>
        <v>[Britannia LTD.]</v>
      </c>
      <c r="B1" s="58"/>
      <c r="C1" s="58"/>
      <c r="D1" s="58"/>
      <c r="E1" s="58"/>
      <c r="F1" s="58"/>
      <c r="G1" s="58"/>
      <c r="H1" s="58"/>
      <c r="I1" s="58"/>
      <c r="J1" s="58"/>
      <c r="K1" s="58"/>
      <c r="L1" s="58"/>
    </row>
    <row r="2" spans="1:13" ht="20.25" customHeight="1" x14ac:dyDescent="0.2">
      <c r="A2" s="52" t="s">
        <v>34</v>
      </c>
      <c r="B2" s="57"/>
      <c r="C2" s="57"/>
      <c r="D2" s="57"/>
      <c r="E2" s="57"/>
      <c r="F2" s="57"/>
      <c r="G2" s="57"/>
      <c r="H2" s="57"/>
      <c r="I2" s="57"/>
      <c r="J2" s="57"/>
      <c r="K2" s="57"/>
      <c r="L2" s="57"/>
    </row>
    <row r="3" spans="1:13" ht="13.8" x14ac:dyDescent="0.3">
      <c r="A3" s="2"/>
      <c r="B3" s="1"/>
      <c r="C3" s="1"/>
      <c r="D3" s="1"/>
      <c r="E3" s="1"/>
      <c r="F3" s="1"/>
      <c r="G3" s="1"/>
      <c r="H3" s="1"/>
      <c r="I3" s="1"/>
      <c r="J3" s="1"/>
      <c r="K3" s="1"/>
      <c r="L3" s="1"/>
    </row>
    <row r="4" spans="1:13" ht="13.8" x14ac:dyDescent="0.2">
      <c r="A4" s="7"/>
    </row>
    <row r="5" spans="1:13" ht="18" customHeight="1" x14ac:dyDescent="0.3">
      <c r="A5" s="141" t="s">
        <v>280</v>
      </c>
      <c r="B5" s="142" t="s">
        <v>278</v>
      </c>
      <c r="C5" s="142" t="s">
        <v>269</v>
      </c>
      <c r="D5" s="142" t="s">
        <v>279</v>
      </c>
      <c r="E5" s="142" t="s">
        <v>270</v>
      </c>
      <c r="F5" s="142" t="s">
        <v>271</v>
      </c>
      <c r="G5" s="142" t="s">
        <v>272</v>
      </c>
      <c r="H5" s="142" t="s">
        <v>273</v>
      </c>
      <c r="I5" s="142" t="s">
        <v>274</v>
      </c>
      <c r="J5" s="142" t="s">
        <v>275</v>
      </c>
      <c r="K5" s="142" t="s">
        <v>276</v>
      </c>
      <c r="L5" s="142" t="s">
        <v>277</v>
      </c>
    </row>
    <row r="6" spans="1:13" ht="18" customHeight="1" x14ac:dyDescent="0.3">
      <c r="A6" s="239" t="s">
        <v>28</v>
      </c>
      <c r="B6" s="229"/>
      <c r="C6" s="229"/>
      <c r="D6" s="229"/>
      <c r="E6" s="229"/>
      <c r="F6" s="229"/>
      <c r="G6" s="229"/>
      <c r="H6" s="229"/>
      <c r="I6" s="229"/>
      <c r="J6" s="229"/>
      <c r="K6" s="229"/>
      <c r="L6" s="229"/>
    </row>
    <row r="7" spans="1:13" ht="19.2" customHeight="1" x14ac:dyDescent="0.25">
      <c r="A7" s="232" t="s">
        <v>8</v>
      </c>
      <c r="B7" s="318"/>
      <c r="C7" s="318">
        <f>('Income Statement'!C7/'Income Statement'!B7)-1</f>
        <v>4.9303419576623764E-2</v>
      </c>
      <c r="D7" s="318">
        <f>('Income Statement'!D7/'Income Statement'!C7)-1</f>
        <v>0.13251142339856892</v>
      </c>
      <c r="E7" s="320">
        <v>0.09</v>
      </c>
      <c r="F7" s="320">
        <v>0.09</v>
      </c>
      <c r="G7" s="320">
        <v>0.09</v>
      </c>
      <c r="H7" s="320">
        <v>0.09</v>
      </c>
      <c r="I7" s="320">
        <v>0.09</v>
      </c>
      <c r="J7" s="320">
        <v>0.09</v>
      </c>
      <c r="K7" s="320">
        <v>0.09</v>
      </c>
      <c r="L7" s="320">
        <v>0.09</v>
      </c>
      <c r="M7" s="8"/>
    </row>
    <row r="8" spans="1:13" ht="19.2" customHeight="1" x14ac:dyDescent="0.25">
      <c r="A8" s="233" t="s">
        <v>169</v>
      </c>
      <c r="B8" s="318">
        <f>ABS('Income Statement'!B13/'Income Statement'!B7)</f>
        <v>0.59354079971051199</v>
      </c>
      <c r="C8" s="318">
        <f>ABS('Income Statement'!C13/'Income Statement'!C7)</f>
        <v>0.597247176480731</v>
      </c>
      <c r="D8" s="318">
        <f>ABS('Income Statement'!D13/'Income Statement'!D7)</f>
        <v>0.58054202192448234</v>
      </c>
      <c r="E8" s="320">
        <f>AVERAGE(B8:D8)</f>
        <v>0.59044333270524174</v>
      </c>
      <c r="F8" s="320">
        <f t="shared" ref="F8:L8" si="0">AVERAGE(C8:E8)</f>
        <v>0.58941084370348495</v>
      </c>
      <c r="G8" s="320">
        <f t="shared" si="0"/>
        <v>0.58679873277773631</v>
      </c>
      <c r="H8" s="320">
        <f t="shared" si="0"/>
        <v>0.58888430306215434</v>
      </c>
      <c r="I8" s="320">
        <f t="shared" si="0"/>
        <v>0.58836462651445853</v>
      </c>
      <c r="J8" s="320">
        <f t="shared" si="0"/>
        <v>0.58801588745144973</v>
      </c>
      <c r="K8" s="320">
        <f t="shared" si="0"/>
        <v>0.58842160567602086</v>
      </c>
      <c r="L8" s="320">
        <f t="shared" si="0"/>
        <v>0.58826737321397637</v>
      </c>
    </row>
    <row r="9" spans="1:13" ht="19.2" customHeight="1" x14ac:dyDescent="0.25">
      <c r="A9" s="233" t="str">
        <f>'Income Statement'!A15</f>
        <v>Employment Benefit Expenses</v>
      </c>
      <c r="B9" s="318">
        <f>'Income Statement'!B15/'Income Statement'!B$7</f>
        <v>3.9895060611543333E-2</v>
      </c>
      <c r="C9" s="318">
        <f>'Income Statement'!C15/'Income Statement'!C$7</f>
        <v>4.1986378136046214E-2</v>
      </c>
      <c r="D9" s="318">
        <f>'Income Statement'!D15/'Income Statement'!D$7</f>
        <v>4.0118757612667477E-2</v>
      </c>
      <c r="E9" s="320">
        <f>AVERAGE(B9:D9)</f>
        <v>4.0666732120085675E-2</v>
      </c>
      <c r="F9" s="320">
        <f t="shared" ref="F9:L14" si="1">AVERAGE(C9:E9)</f>
        <v>4.092395595626646E-2</v>
      </c>
      <c r="G9" s="320">
        <f t="shared" si="1"/>
        <v>4.0569815229673206E-2</v>
      </c>
      <c r="H9" s="320">
        <f t="shared" si="1"/>
        <v>4.0720167768675118E-2</v>
      </c>
      <c r="I9" s="320">
        <f t="shared" si="1"/>
        <v>4.0737979651538268E-2</v>
      </c>
      <c r="J9" s="320">
        <f t="shared" si="1"/>
        <v>4.0675987549962205E-2</v>
      </c>
      <c r="K9" s="320">
        <f t="shared" si="1"/>
        <v>4.0711378323391861E-2</v>
      </c>
      <c r="L9" s="320">
        <f t="shared" si="1"/>
        <v>4.0708448508297447E-2</v>
      </c>
    </row>
    <row r="10" spans="1:13" ht="19.2" customHeight="1" x14ac:dyDescent="0.25">
      <c r="A10" s="233" t="str">
        <f>'Income Statement'!A16</f>
        <v>Carriage, freight and distribution</v>
      </c>
      <c r="B10" s="318">
        <f>'Income Statement'!B16/'Income Statement'!B$7</f>
        <v>5.0027139497014657E-2</v>
      </c>
      <c r="C10" s="318">
        <f>'Income Statement'!C16/'Income Statement'!C$7</f>
        <v>5.1728597292870077E-2</v>
      </c>
      <c r="D10" s="318">
        <f>'Income Statement'!D16/'Income Statement'!D$7</f>
        <v>4.9862971985383676E-2</v>
      </c>
      <c r="E10" s="320">
        <f t="shared" ref="E10:E13" si="2">AVERAGE(B10:D10)</f>
        <v>5.053956959175613E-2</v>
      </c>
      <c r="F10" s="320">
        <f t="shared" si="1"/>
        <v>5.0710379623336625E-2</v>
      </c>
      <c r="G10" s="320">
        <f t="shared" si="1"/>
        <v>5.0370973733492141E-2</v>
      </c>
      <c r="H10" s="320">
        <f t="shared" si="1"/>
        <v>5.0540307649528299E-2</v>
      </c>
      <c r="I10" s="320">
        <f t="shared" si="1"/>
        <v>5.0540553668785689E-2</v>
      </c>
      <c r="J10" s="320">
        <f t="shared" si="1"/>
        <v>5.048394501726871E-2</v>
      </c>
      <c r="K10" s="320">
        <f t="shared" si="1"/>
        <v>5.0521602111860901E-2</v>
      </c>
      <c r="L10" s="320">
        <f t="shared" si="1"/>
        <v>5.0515366932638438E-2</v>
      </c>
    </row>
    <row r="11" spans="1:13" ht="19.2" customHeight="1" x14ac:dyDescent="0.25">
      <c r="A11" s="233" t="str">
        <f>'Income Statement'!A17</f>
        <v>Advertising and sales promotion</v>
      </c>
      <c r="B11" s="318">
        <f>'Income Statement'!B17/'Income Statement'!B$7</f>
        <v>4.5322960014474396E-2</v>
      </c>
      <c r="C11" s="318">
        <f>'Income Statement'!C17/'Income Statement'!C$7</f>
        <v>4.0951806190188809E-2</v>
      </c>
      <c r="D11" s="318">
        <f>'Income Statement'!D17/'Income Statement'!D$7</f>
        <v>3.4409257003654083E-2</v>
      </c>
      <c r="E11" s="320">
        <f t="shared" si="2"/>
        <v>4.0228007736105763E-2</v>
      </c>
      <c r="F11" s="320">
        <f t="shared" si="1"/>
        <v>3.8529690309982885E-2</v>
      </c>
      <c r="G11" s="320">
        <f t="shared" si="1"/>
        <v>3.7722318349914241E-2</v>
      </c>
      <c r="H11" s="320">
        <f t="shared" si="1"/>
        <v>3.8826672132000965E-2</v>
      </c>
      <c r="I11" s="320">
        <f t="shared" si="1"/>
        <v>3.835956026396603E-2</v>
      </c>
      <c r="J11" s="320">
        <f t="shared" si="1"/>
        <v>3.8302850248627084E-2</v>
      </c>
      <c r="K11" s="320">
        <f t="shared" si="1"/>
        <v>3.8496360881531362E-2</v>
      </c>
      <c r="L11" s="320">
        <f t="shared" si="1"/>
        <v>3.8386257131374828E-2</v>
      </c>
    </row>
    <row r="12" spans="1:13" ht="19.2" customHeight="1" x14ac:dyDescent="0.25">
      <c r="A12" s="233" t="str">
        <f>'Income Statement'!A18</f>
        <v>Conversion charges</v>
      </c>
      <c r="B12" s="318">
        <f>'Income Statement'!B18/'Income Statement'!B$7</f>
        <v>4.6408539895060615E-2</v>
      </c>
      <c r="C12" s="318">
        <f>'Income Statement'!C18/'Income Statement'!C$7</f>
        <v>4.3796879041296664E-2</v>
      </c>
      <c r="D12" s="318">
        <f>'Income Statement'!D18/'Income Statement'!D$7</f>
        <v>4.3316077953714983E-2</v>
      </c>
      <c r="E12" s="320">
        <f t="shared" si="2"/>
        <v>4.4507165630024083E-2</v>
      </c>
      <c r="F12" s="320">
        <f t="shared" si="1"/>
        <v>4.3873374208345244E-2</v>
      </c>
      <c r="G12" s="320">
        <f t="shared" si="1"/>
        <v>4.3898872597361437E-2</v>
      </c>
      <c r="H12" s="320">
        <f t="shared" si="1"/>
        <v>4.4093137478576926E-2</v>
      </c>
      <c r="I12" s="320">
        <f t="shared" si="1"/>
        <v>4.3955128094761202E-2</v>
      </c>
      <c r="J12" s="320">
        <f t="shared" si="1"/>
        <v>4.3982379390233188E-2</v>
      </c>
      <c r="K12" s="320">
        <f t="shared" si="1"/>
        <v>4.4010214987857101E-2</v>
      </c>
      <c r="L12" s="320">
        <f t="shared" si="1"/>
        <v>4.3982574157617166E-2</v>
      </c>
    </row>
    <row r="13" spans="1:13" ht="19.2" customHeight="1" x14ac:dyDescent="0.25">
      <c r="A13" s="233" t="str">
        <f>'Income Statement'!A19</f>
        <v xml:space="preserve">Other Expenses </v>
      </c>
      <c r="B13" s="318">
        <f>'Income Statement'!B19/'Income Statement'!B$7</f>
        <v>6.7848742536638321E-2</v>
      </c>
      <c r="C13" s="318">
        <f>'Income Statement'!C19/'Income Statement'!C$7</f>
        <v>6.5436675575480649E-2</v>
      </c>
      <c r="D13" s="318">
        <f>'Income Statement'!D19/'Income Statement'!D$7</f>
        <v>6.0672959805115716E-2</v>
      </c>
      <c r="E13" s="320">
        <f t="shared" si="2"/>
        <v>6.4652792639078235E-2</v>
      </c>
      <c r="F13" s="320">
        <f t="shared" si="1"/>
        <v>6.3587476006558188E-2</v>
      </c>
      <c r="G13" s="320">
        <f t="shared" si="1"/>
        <v>6.2971076150250715E-2</v>
      </c>
      <c r="H13" s="320">
        <f t="shared" si="1"/>
        <v>6.373711493196238E-2</v>
      </c>
      <c r="I13" s="320">
        <f t="shared" si="1"/>
        <v>6.3431889029590419E-2</v>
      </c>
      <c r="J13" s="320">
        <f t="shared" si="1"/>
        <v>6.33800267039345E-2</v>
      </c>
      <c r="K13" s="320">
        <f t="shared" si="1"/>
        <v>6.3516343555162433E-2</v>
      </c>
      <c r="L13" s="320">
        <f t="shared" si="1"/>
        <v>6.3442753096229113E-2</v>
      </c>
    </row>
    <row r="14" spans="1:13" ht="19.2" customHeight="1" x14ac:dyDescent="0.25">
      <c r="A14" s="233" t="s">
        <v>27</v>
      </c>
      <c r="B14" s="318">
        <f>('Income Statement'!B32+'Income Statement'!B33)/'Income Statement'!B31</f>
        <v>-0.34612406824488134</v>
      </c>
      <c r="C14" s="318">
        <f>('Income Statement'!C32+'Income Statement'!C33)/'Income Statement'!C31</f>
        <v>-0.2444607165134379</v>
      </c>
      <c r="D14" s="318">
        <f>('Income Statement'!D32+'Income Statement'!D33)/'Income Statement'!D31</f>
        <v>-0.26368390701743921</v>
      </c>
      <c r="E14" s="320">
        <f>AVERAGE(C14:D14)</f>
        <v>-0.25407231176543854</v>
      </c>
      <c r="F14" s="320">
        <f t="shared" si="1"/>
        <v>-0.25407231176543854</v>
      </c>
      <c r="G14" s="320">
        <f t="shared" si="1"/>
        <v>-0.25727617684943876</v>
      </c>
      <c r="H14" s="320">
        <f t="shared" si="1"/>
        <v>-0.2551402667934386</v>
      </c>
      <c r="I14" s="320">
        <f t="shared" si="1"/>
        <v>-0.25549625180277197</v>
      </c>
      <c r="J14" s="320">
        <f t="shared" si="1"/>
        <v>-0.25597089848188309</v>
      </c>
      <c r="K14" s="320">
        <f t="shared" si="1"/>
        <v>-0.2555358056926979</v>
      </c>
      <c r="L14" s="320">
        <f t="shared" si="1"/>
        <v>-0.25566765199245101</v>
      </c>
    </row>
    <row r="15" spans="1:13" ht="19.2" customHeight="1" x14ac:dyDescent="0.25">
      <c r="A15" s="233"/>
      <c r="B15" s="345"/>
      <c r="C15" s="354"/>
      <c r="D15" s="231"/>
      <c r="E15" s="345"/>
      <c r="F15" s="345"/>
      <c r="G15" s="345"/>
      <c r="H15" s="345"/>
      <c r="I15" s="345"/>
      <c r="J15" s="345"/>
      <c r="K15" s="231"/>
      <c r="L15" s="231"/>
    </row>
    <row r="16" spans="1:13" ht="19.2" customHeight="1" x14ac:dyDescent="0.3">
      <c r="A16" s="240" t="s">
        <v>4</v>
      </c>
      <c r="B16" s="231"/>
      <c r="C16" s="231"/>
      <c r="D16" s="231"/>
      <c r="E16" s="231"/>
      <c r="F16" s="231"/>
      <c r="G16" s="231"/>
      <c r="H16" s="231"/>
      <c r="I16" s="231"/>
      <c r="J16" s="231"/>
      <c r="K16" s="231"/>
      <c r="L16" s="231"/>
    </row>
    <row r="17" spans="1:12" ht="19.2" customHeight="1" x14ac:dyDescent="0.25">
      <c r="A17" s="234" t="s">
        <v>267</v>
      </c>
      <c r="B17" s="318">
        <f>'Income Statement'!B26/('Balance Sheet'!B38+'Balance Sheet'!B45) *-1</f>
        <v>6.5860020286914941E-2</v>
      </c>
      <c r="C17" s="318">
        <f>'Income Statement'!C26/('Balance Sheet'!C38+'Balance Sheet'!C45) *-1</f>
        <v>5.0790925002476804E-2</v>
      </c>
      <c r="D17" s="318">
        <f>'Income Statement'!D26/('Balance Sheet'!D38+'Balance Sheet'!D45) *-1</f>
        <v>5.3134148152761872E-2</v>
      </c>
      <c r="E17" s="353">
        <f t="shared" ref="E17:E24" si="3">AVERAGE(B17:D17)</f>
        <v>5.6595031147384539E-2</v>
      </c>
      <c r="F17" s="353">
        <f t="shared" ref="F17:L17" si="4">AVERAGE(C17:E17)</f>
        <v>5.3506701434207736E-2</v>
      </c>
      <c r="G17" s="353">
        <f t="shared" si="4"/>
        <v>5.4411960244784723E-2</v>
      </c>
      <c r="H17" s="353">
        <f t="shared" si="4"/>
        <v>5.4837897608792339E-2</v>
      </c>
      <c r="I17" s="353">
        <f t="shared" si="4"/>
        <v>5.4252186429261599E-2</v>
      </c>
      <c r="J17" s="353">
        <f t="shared" si="4"/>
        <v>5.4500681427612885E-2</v>
      </c>
      <c r="K17" s="353">
        <f t="shared" si="4"/>
        <v>5.4530255155222272E-2</v>
      </c>
      <c r="L17" s="353">
        <f t="shared" si="4"/>
        <v>5.4427707670698926E-2</v>
      </c>
    </row>
    <row r="18" spans="1:12" ht="19.2" customHeight="1" x14ac:dyDescent="0.25">
      <c r="A18" s="235" t="s">
        <v>264</v>
      </c>
      <c r="B18" s="350">
        <f>'Income Statement'!B8/'Balance Sheet'!B11</f>
        <v>28.038758116883116</v>
      </c>
      <c r="C18" s="350">
        <f>'Income Statement'!C8/'Balance Sheet'!C11</f>
        <v>36.206143089024849</v>
      </c>
      <c r="D18" s="350">
        <f>'Income Statement'!D8/'Balance Sheet'!D11</f>
        <v>51.059198507404673</v>
      </c>
      <c r="E18" s="349">
        <f t="shared" si="3"/>
        <v>38.434699904437544</v>
      </c>
      <c r="F18" s="349">
        <f t="shared" ref="F18:L18" si="5">AVERAGE(C18:E18)</f>
        <v>41.900013833622353</v>
      </c>
      <c r="G18" s="349">
        <f t="shared" si="5"/>
        <v>43.79797074848819</v>
      </c>
      <c r="H18" s="349">
        <f t="shared" si="5"/>
        <v>41.377561495516026</v>
      </c>
      <c r="I18" s="349">
        <f t="shared" si="5"/>
        <v>42.358515359208859</v>
      </c>
      <c r="J18" s="349">
        <f t="shared" si="5"/>
        <v>42.511349201071027</v>
      </c>
      <c r="K18" s="349">
        <f t="shared" si="5"/>
        <v>42.082475351931969</v>
      </c>
      <c r="L18" s="349">
        <f t="shared" si="5"/>
        <v>42.317446637403954</v>
      </c>
    </row>
    <row r="19" spans="1:12" ht="19.2" customHeight="1" x14ac:dyDescent="0.25">
      <c r="A19" s="236" t="s">
        <v>265</v>
      </c>
      <c r="B19" s="350">
        <f>'Income Statement'!B13/'Balance Sheet'!B12 * -1</f>
        <v>8.3966827919834142</v>
      </c>
      <c r="C19" s="350">
        <f>'Income Statement'!C13/'Balance Sheet'!C12 * -1</f>
        <v>9.3493171021377659</v>
      </c>
      <c r="D19" s="350">
        <f>'Income Statement'!D13/'Balance Sheet'!D12 * -1</f>
        <v>6.9867795398950054</v>
      </c>
      <c r="E19" s="349">
        <f t="shared" si="3"/>
        <v>8.2442598113387291</v>
      </c>
      <c r="F19" s="349">
        <f t="shared" ref="F19:L19" si="6">AVERAGE(C19:E19)</f>
        <v>8.1934521511238341</v>
      </c>
      <c r="G19" s="349">
        <f t="shared" si="6"/>
        <v>7.8081638341191892</v>
      </c>
      <c r="H19" s="349">
        <f t="shared" si="6"/>
        <v>8.0819585988605844</v>
      </c>
      <c r="I19" s="349">
        <f t="shared" si="6"/>
        <v>8.0278581947012029</v>
      </c>
      <c r="J19" s="349">
        <f t="shared" si="6"/>
        <v>7.9726602092269916</v>
      </c>
      <c r="K19" s="349">
        <f t="shared" si="6"/>
        <v>8.0274923342629254</v>
      </c>
      <c r="L19" s="349">
        <f t="shared" si="6"/>
        <v>8.0093369127303742</v>
      </c>
    </row>
    <row r="20" spans="1:12" ht="19.2" customHeight="1" x14ac:dyDescent="0.25">
      <c r="A20" s="236" t="s">
        <v>266</v>
      </c>
      <c r="B20" s="350">
        <f>'Income Statement'!B13/'Balance Sheet'!B37 * -1</f>
        <v>5.7526895862377359</v>
      </c>
      <c r="C20" s="350">
        <f>'Income Statement'!C13/'Balance Sheet'!C37 * -1</f>
        <v>6.205853370122191</v>
      </c>
      <c r="D20" s="350">
        <f>'Income Statement'!D13/'Balance Sheet'!D37 * -1</f>
        <v>5.8003422703936112</v>
      </c>
      <c r="E20" s="349">
        <f t="shared" si="3"/>
        <v>5.9196284089178457</v>
      </c>
      <c r="F20" s="349">
        <f t="shared" ref="F20:L20" si="7">AVERAGE(C20:E20)</f>
        <v>5.9752746831445487</v>
      </c>
      <c r="G20" s="349">
        <f t="shared" si="7"/>
        <v>5.8984151208186688</v>
      </c>
      <c r="H20" s="349">
        <f t="shared" si="7"/>
        <v>5.9311060709603538</v>
      </c>
      <c r="I20" s="349">
        <f t="shared" si="7"/>
        <v>5.9349319583078568</v>
      </c>
      <c r="J20" s="349">
        <f t="shared" si="7"/>
        <v>5.9214843833622934</v>
      </c>
      <c r="K20" s="349">
        <f t="shared" si="7"/>
        <v>5.9291741375435016</v>
      </c>
      <c r="L20" s="349">
        <f t="shared" si="7"/>
        <v>5.9285301597378846</v>
      </c>
    </row>
    <row r="21" spans="1:12" ht="19.2" customHeight="1" x14ac:dyDescent="0.25">
      <c r="A21" s="236" t="s">
        <v>257</v>
      </c>
      <c r="B21" s="318">
        <f>B44/B39</f>
        <v>8.7709240028355256E-2</v>
      </c>
      <c r="C21" s="318">
        <f t="shared" ref="C21:D21" si="8">C44/C39</f>
        <v>8.1879459855129108E-2</v>
      </c>
      <c r="D21" s="318">
        <f t="shared" si="8"/>
        <v>7.7828987192318982E-2</v>
      </c>
      <c r="E21" s="320">
        <f t="shared" si="3"/>
        <v>8.2472562358601106E-2</v>
      </c>
      <c r="F21" s="320">
        <f t="shared" ref="F21:L21" si="9">AVERAGE(C21:E21)</f>
        <v>8.0727003135349737E-2</v>
      </c>
      <c r="G21" s="320">
        <f t="shared" si="9"/>
        <v>8.0342850895423271E-2</v>
      </c>
      <c r="H21" s="320">
        <f t="shared" si="9"/>
        <v>8.1180805463124714E-2</v>
      </c>
      <c r="I21" s="320">
        <f t="shared" si="9"/>
        <v>8.075021983129925E-2</v>
      </c>
      <c r="J21" s="320">
        <f t="shared" si="9"/>
        <v>8.0757958729949078E-2</v>
      </c>
      <c r="K21" s="320">
        <f t="shared" si="9"/>
        <v>8.0896328008124352E-2</v>
      </c>
      <c r="L21" s="320">
        <f t="shared" si="9"/>
        <v>8.0801502189790889E-2</v>
      </c>
    </row>
    <row r="22" spans="1:12" ht="19.2" customHeight="1" x14ac:dyDescent="0.25">
      <c r="A22" s="236" t="s">
        <v>258</v>
      </c>
      <c r="B22" s="318">
        <f>B59/B55</f>
        <v>4.5989758309142495E-2</v>
      </c>
      <c r="C22" s="318">
        <f t="shared" ref="C22:D22" si="10">C59/C55</f>
        <v>1.7880026850552268E-2</v>
      </c>
      <c r="D22" s="318">
        <f t="shared" si="10"/>
        <v>1.6474464579901153E-2</v>
      </c>
      <c r="E22" s="320">
        <f t="shared" si="3"/>
        <v>2.6781416579865307E-2</v>
      </c>
      <c r="F22" s="320">
        <f t="shared" ref="F22:L22" si="11">AVERAGE(C22:E22)</f>
        <v>2.0378636003439577E-2</v>
      </c>
      <c r="G22" s="320">
        <f t="shared" si="11"/>
        <v>2.1211505721068679E-2</v>
      </c>
      <c r="H22" s="320">
        <f t="shared" si="11"/>
        <v>2.2790519434791188E-2</v>
      </c>
      <c r="I22" s="320">
        <f t="shared" si="11"/>
        <v>2.1460220386433148E-2</v>
      </c>
      <c r="J22" s="320">
        <f t="shared" si="11"/>
        <v>2.1820748514097672E-2</v>
      </c>
      <c r="K22" s="320">
        <f t="shared" si="11"/>
        <v>2.2023829445107335E-2</v>
      </c>
      <c r="L22" s="320">
        <f t="shared" si="11"/>
        <v>2.1768266115212719E-2</v>
      </c>
    </row>
    <row r="23" spans="1:12" ht="19.2" customHeight="1" x14ac:dyDescent="0.25">
      <c r="A23" s="236" t="s">
        <v>259</v>
      </c>
      <c r="B23" s="319">
        <f>'Income Statement'!B8/Assumptions!B32</f>
        <v>7.2775393042424881</v>
      </c>
      <c r="C23" s="319">
        <f>'Income Statement'!C8/Assumptions!C32</f>
        <v>5.7367684371398759</v>
      </c>
      <c r="D23" s="319">
        <f>'Income Statement'!D8/Assumptions!D32</f>
        <v>5.4018710804975845</v>
      </c>
      <c r="E23" s="349">
        <f t="shared" si="3"/>
        <v>6.1387262739599828</v>
      </c>
      <c r="F23" s="349">
        <f t="shared" ref="F23:L23" si="12">AVERAGE(C23:E23)</f>
        <v>5.7591219305324808</v>
      </c>
      <c r="G23" s="349">
        <f t="shared" si="12"/>
        <v>5.7665730949966827</v>
      </c>
      <c r="H23" s="349">
        <f t="shared" si="12"/>
        <v>5.8881404331630485</v>
      </c>
      <c r="I23" s="349">
        <f t="shared" si="12"/>
        <v>5.8046118195640704</v>
      </c>
      <c r="J23" s="349">
        <f t="shared" si="12"/>
        <v>5.8197751159079338</v>
      </c>
      <c r="K23" s="349">
        <f t="shared" si="12"/>
        <v>5.8375091228783509</v>
      </c>
      <c r="L23" s="349">
        <f t="shared" si="12"/>
        <v>5.8206320194501187</v>
      </c>
    </row>
    <row r="24" spans="1:12" s="5" customFormat="1" ht="19.2" customHeight="1" x14ac:dyDescent="0.25">
      <c r="A24" s="236" t="s">
        <v>260</v>
      </c>
      <c r="B24" s="319">
        <f>'Income Statement'!B8/B50</f>
        <v>74.257691790944506</v>
      </c>
      <c r="C24" s="319">
        <f>'Income Statement'!C8/C50</f>
        <v>73.537056996132634</v>
      </c>
      <c r="D24" s="319">
        <f>'Income Statement'!D8/D50</f>
        <v>77.266043173930953</v>
      </c>
      <c r="E24" s="349">
        <f t="shared" si="3"/>
        <v>75.020263987002693</v>
      </c>
      <c r="F24" s="349">
        <f t="shared" ref="F24:L24" si="13">AVERAGE(C24:E24)</f>
        <v>75.274454719022103</v>
      </c>
      <c r="G24" s="349">
        <f t="shared" si="13"/>
        <v>75.853587293318583</v>
      </c>
      <c r="H24" s="349">
        <f t="shared" si="13"/>
        <v>75.382768666447802</v>
      </c>
      <c r="I24" s="349">
        <f t="shared" si="13"/>
        <v>75.503603559596172</v>
      </c>
      <c r="J24" s="349">
        <f t="shared" si="13"/>
        <v>75.57998650645419</v>
      </c>
      <c r="K24" s="349">
        <f t="shared" si="13"/>
        <v>75.488786244166064</v>
      </c>
      <c r="L24" s="349">
        <f t="shared" si="13"/>
        <v>75.524125436738814</v>
      </c>
    </row>
    <row r="25" spans="1:12" s="5" customFormat="1" ht="19.2" customHeight="1" x14ac:dyDescent="0.25">
      <c r="A25" s="236"/>
      <c r="B25" s="230"/>
      <c r="C25" s="230"/>
      <c r="D25" s="230"/>
      <c r="E25" s="230"/>
      <c r="F25" s="230"/>
      <c r="G25" s="230"/>
      <c r="H25" s="230"/>
      <c r="I25" s="230"/>
      <c r="J25" s="230"/>
      <c r="K25" s="230"/>
      <c r="L25" s="230"/>
    </row>
    <row r="26" spans="1:12" s="123" customFormat="1" ht="18" x14ac:dyDescent="0.35">
      <c r="A26" s="237" t="s">
        <v>359</v>
      </c>
      <c r="B26" s="352">
        <f>'Balance Sheet'!B45/'Balance Sheet'!B59</f>
        <v>1.4447272820601362E-2</v>
      </c>
      <c r="C26" s="352">
        <f>'Balance Sheet'!C45/'Balance Sheet'!C59</f>
        <v>0.17259512265460247</v>
      </c>
      <c r="D26" s="352">
        <f>'Balance Sheet'!D45/'Balance Sheet'!D59</f>
        <v>0.2086356026785714</v>
      </c>
      <c r="E26" s="352">
        <f>AVERAGE(B26:D26)</f>
        <v>0.13189266605125841</v>
      </c>
      <c r="F26" s="352">
        <f t="shared" ref="F26:L26" si="14">AVERAGE(C26:E26)</f>
        <v>0.17104113046147743</v>
      </c>
      <c r="G26" s="352">
        <f t="shared" si="14"/>
        <v>0.17052313306376907</v>
      </c>
      <c r="H26" s="352">
        <f t="shared" si="14"/>
        <v>0.15781897652550161</v>
      </c>
      <c r="I26" s="352">
        <f t="shared" si="14"/>
        <v>0.16646108001691604</v>
      </c>
      <c r="J26" s="352">
        <f t="shared" si="14"/>
        <v>0.16493439653539557</v>
      </c>
      <c r="K26" s="352">
        <f t="shared" si="14"/>
        <v>0.16307148435927107</v>
      </c>
      <c r="L26" s="352">
        <f t="shared" si="14"/>
        <v>0.1648223203038609</v>
      </c>
    </row>
    <row r="27" spans="1:12" s="123" customFormat="1" ht="18" x14ac:dyDescent="0.35">
      <c r="A27" s="238" t="s">
        <v>360</v>
      </c>
      <c r="B27" s="179">
        <f>'Income Statement'!B13/'Balance Sheet'!B39 *-1</f>
        <v>18.003951484550797</v>
      </c>
      <c r="C27" s="179">
        <f>'Income Statement'!C13/'Balance Sheet'!C39 *-1</f>
        <v>14.994848373341412</v>
      </c>
      <c r="D27" s="179">
        <f>'Income Statement'!D13/'Balance Sheet'!D39 *-1</f>
        <v>15.357969992951366</v>
      </c>
      <c r="E27" s="179">
        <f>AVERAGE(B27:D27)</f>
        <v>16.118923283614524</v>
      </c>
      <c r="F27" s="179">
        <f t="shared" ref="F27:L27" si="15">AVERAGE(C27:E27)</f>
        <v>15.490580549969101</v>
      </c>
      <c r="G27" s="179">
        <f t="shared" si="15"/>
        <v>15.655824608844997</v>
      </c>
      <c r="H27" s="179">
        <f t="shared" si="15"/>
        <v>15.755109480809539</v>
      </c>
      <c r="I27" s="179">
        <f t="shared" si="15"/>
        <v>15.633838213207879</v>
      </c>
      <c r="J27" s="179">
        <f t="shared" si="15"/>
        <v>15.681590767620804</v>
      </c>
      <c r="K27" s="179">
        <f t="shared" si="15"/>
        <v>15.69017948721274</v>
      </c>
      <c r="L27" s="179">
        <f t="shared" si="15"/>
        <v>15.668536156013808</v>
      </c>
    </row>
    <row r="28" spans="1:12" s="123" customFormat="1" ht="18" x14ac:dyDescent="0.35">
      <c r="A28" s="357" t="s">
        <v>362</v>
      </c>
      <c r="B28" s="178">
        <f>'Income Statement'!B51/'Income Statement'!B41</f>
        <v>-0.3052684170629178</v>
      </c>
      <c r="C28" s="178">
        <f>'Income Statement'!C51/'Income Statement'!C41</f>
        <v>-0.30937649760026309</v>
      </c>
      <c r="D28" s="178">
        <f>'Income Statement'!D51/'Income Statement'!D41</f>
        <v>-1.5264091073716304</v>
      </c>
      <c r="E28" s="178">
        <f>0.31*-1</f>
        <v>-0.31</v>
      </c>
      <c r="F28" s="178">
        <f t="shared" ref="F28:L28" si="16">0.31*-1</f>
        <v>-0.31</v>
      </c>
      <c r="G28" s="178">
        <f t="shared" si="16"/>
        <v>-0.31</v>
      </c>
      <c r="H28" s="178">
        <f t="shared" si="16"/>
        <v>-0.31</v>
      </c>
      <c r="I28" s="178">
        <f t="shared" si="16"/>
        <v>-0.31</v>
      </c>
      <c r="J28" s="178">
        <f t="shared" si="16"/>
        <v>-0.31</v>
      </c>
      <c r="K28" s="178">
        <f t="shared" si="16"/>
        <v>-0.31</v>
      </c>
      <c r="L28" s="178">
        <f t="shared" si="16"/>
        <v>-0.31</v>
      </c>
    </row>
    <row r="30" spans="1:12" s="259" customFormat="1" ht="17.399999999999999" x14ac:dyDescent="0.3">
      <c r="A30" s="183" t="s">
        <v>297</v>
      </c>
      <c r="B30" s="184"/>
      <c r="C30" s="184"/>
      <c r="D30" s="184"/>
      <c r="E30" s="185"/>
      <c r="F30" s="185"/>
      <c r="G30" s="185"/>
      <c r="H30" s="185"/>
      <c r="I30" s="185"/>
      <c r="J30" s="185"/>
      <c r="K30" s="185"/>
      <c r="L30" s="185"/>
    </row>
    <row r="31" spans="1:12" s="259" customFormat="1" ht="17.399999999999999" x14ac:dyDescent="0.3">
      <c r="A31" s="186" t="s">
        <v>106</v>
      </c>
      <c r="B31" s="187"/>
      <c r="C31" s="187"/>
      <c r="D31" s="187"/>
      <c r="E31" s="187"/>
      <c r="F31" s="187"/>
      <c r="G31" s="187"/>
      <c r="H31" s="187"/>
      <c r="I31" s="187"/>
      <c r="J31" s="187"/>
      <c r="K31" s="187"/>
      <c r="L31" s="187"/>
    </row>
    <row r="32" spans="1:12" s="259" customFormat="1" ht="17.399999999999999" x14ac:dyDescent="0.3">
      <c r="A32" s="180" t="s">
        <v>107</v>
      </c>
      <c r="B32" s="188">
        <v>1518.92</v>
      </c>
      <c r="C32" s="200">
        <v>2021.87</v>
      </c>
      <c r="D32" s="200">
        <v>2431.75</v>
      </c>
      <c r="E32" s="201">
        <f>D38</f>
        <v>2573.84</v>
      </c>
      <c r="F32" s="201">
        <f t="shared" ref="F32:L32" si="17">E38</f>
        <v>2766.4271829494946</v>
      </c>
      <c r="G32" s="201">
        <f t="shared" si="17"/>
        <v>2990.1837929924523</v>
      </c>
      <c r="H32" s="201">
        <f t="shared" si="17"/>
        <v>3233.7633541738937</v>
      </c>
      <c r="I32" s="201">
        <f t="shared" si="17"/>
        <v>3493.7834916585466</v>
      </c>
      <c r="J32" s="201">
        <f t="shared" si="17"/>
        <v>3781.283895558377</v>
      </c>
      <c r="K32" s="201">
        <f t="shared" si="17"/>
        <v>4093.8428429769478</v>
      </c>
      <c r="L32" s="201">
        <f t="shared" si="17"/>
        <v>4433.497101891925</v>
      </c>
    </row>
    <row r="33" spans="1:12" s="259" customFormat="1" ht="17.399999999999999" x14ac:dyDescent="0.3">
      <c r="A33" s="180" t="s">
        <v>43</v>
      </c>
      <c r="B33" s="190">
        <v>493.18</v>
      </c>
      <c r="C33" s="190">
        <v>320.93</v>
      </c>
      <c r="D33" s="190">
        <v>111.35</v>
      </c>
      <c r="E33" s="201">
        <f>('Income Statement'!E8-'Income Statement'!D8)/E23</f>
        <v>192.58718294949449</v>
      </c>
      <c r="F33" s="201">
        <f>('Income Statement'!F8-'Income Statement'!E8)/F23</f>
        <v>223.7566100429575</v>
      </c>
      <c r="G33" s="201">
        <f>('Income Statement'!G8-'Income Statement'!F8)/G23</f>
        <v>243.57956118144148</v>
      </c>
      <c r="H33" s="201">
        <f>('Income Statement'!H8-'Income Statement'!G8)/H23</f>
        <v>260.02013748465299</v>
      </c>
      <c r="I33" s="201">
        <f>('Income Statement'!I8-'Income Statement'!H8)/I23</f>
        <v>287.50040389983042</v>
      </c>
      <c r="J33" s="201">
        <f>('Income Statement'!J8-'Income Statement'!I8)/J23</f>
        <v>312.55894741857077</v>
      </c>
      <c r="K33" s="201">
        <f>('Income Statement'!K8-'Income Statement'!J8)/K23</f>
        <v>339.65425891497716</v>
      </c>
      <c r="L33" s="201">
        <f>('Income Statement'!L8-'Income Statement'!K8)/L23</f>
        <v>371.29661572361226</v>
      </c>
    </row>
    <row r="34" spans="1:12" s="259" customFormat="1" ht="17.399999999999999" x14ac:dyDescent="0.3">
      <c r="A34" s="180" t="s">
        <v>354</v>
      </c>
      <c r="B34" s="190"/>
      <c r="C34" s="190">
        <v>37.869999999999997</v>
      </c>
      <c r="D34" s="190"/>
      <c r="E34" s="201">
        <v>0</v>
      </c>
      <c r="F34" s="201">
        <v>0</v>
      </c>
      <c r="G34" s="201">
        <v>0</v>
      </c>
      <c r="H34" s="201">
        <v>0</v>
      </c>
      <c r="I34" s="201">
        <v>0</v>
      </c>
      <c r="J34" s="201">
        <v>0</v>
      </c>
      <c r="K34" s="201">
        <v>0</v>
      </c>
      <c r="L34" s="201">
        <v>0</v>
      </c>
    </row>
    <row r="35" spans="1:12" s="259" customFormat="1" ht="17.399999999999999" x14ac:dyDescent="0.3">
      <c r="A35" s="180" t="s">
        <v>352</v>
      </c>
      <c r="B35" s="190">
        <v>23.42</v>
      </c>
      <c r="C35" s="190">
        <v>56.47</v>
      </c>
      <c r="D35" s="190">
        <v>47.28</v>
      </c>
      <c r="E35" s="201">
        <v>0</v>
      </c>
      <c r="F35" s="201">
        <v>0</v>
      </c>
      <c r="G35" s="201">
        <v>0</v>
      </c>
      <c r="H35" s="201">
        <v>0</v>
      </c>
      <c r="I35" s="201">
        <v>0</v>
      </c>
      <c r="J35" s="201">
        <v>0</v>
      </c>
      <c r="K35" s="201">
        <v>0</v>
      </c>
      <c r="L35" s="201">
        <v>0</v>
      </c>
    </row>
    <row r="36" spans="1:12" s="259" customFormat="1" ht="17.399999999999999" x14ac:dyDescent="0.3">
      <c r="A36" s="180" t="s">
        <v>353</v>
      </c>
      <c r="B36" s="190"/>
      <c r="C36" s="190">
        <v>0</v>
      </c>
      <c r="D36" s="190">
        <v>2.29</v>
      </c>
      <c r="E36" s="201">
        <v>0</v>
      </c>
      <c r="F36" s="201">
        <v>0</v>
      </c>
      <c r="G36" s="201">
        <v>0</v>
      </c>
      <c r="H36" s="201">
        <v>0</v>
      </c>
      <c r="I36" s="201">
        <v>0</v>
      </c>
      <c r="J36" s="201">
        <v>0</v>
      </c>
      <c r="K36" s="201">
        <v>0</v>
      </c>
      <c r="L36" s="201">
        <v>0</v>
      </c>
    </row>
    <row r="37" spans="1:12" s="259" customFormat="1" ht="17.399999999999999" x14ac:dyDescent="0.3">
      <c r="A37" s="180" t="s">
        <v>42</v>
      </c>
      <c r="B37" s="190">
        <v>13.65</v>
      </c>
      <c r="C37" s="190">
        <v>5.39</v>
      </c>
      <c r="D37" s="190">
        <v>18.829999999999998</v>
      </c>
      <c r="E37" s="201">
        <v>0</v>
      </c>
      <c r="F37" s="201">
        <v>0</v>
      </c>
      <c r="G37" s="201">
        <v>0</v>
      </c>
      <c r="H37" s="201">
        <v>0</v>
      </c>
      <c r="I37" s="201">
        <v>0</v>
      </c>
      <c r="J37" s="201">
        <v>0</v>
      </c>
      <c r="K37" s="201">
        <v>0</v>
      </c>
      <c r="L37" s="201">
        <v>0</v>
      </c>
    </row>
    <row r="38" spans="1:12" s="259" customFormat="1" ht="17.399999999999999" x14ac:dyDescent="0.3">
      <c r="A38" s="199" t="s">
        <v>108</v>
      </c>
      <c r="B38" s="202">
        <f>SUM(B32:B36)-B37</f>
        <v>2021.8700000000001</v>
      </c>
      <c r="C38" s="202">
        <f>SUM(C32:C36)-C37</f>
        <v>2431.7499999999995</v>
      </c>
      <c r="D38" s="202">
        <f>SUM(D32:D36)-D37</f>
        <v>2573.84</v>
      </c>
      <c r="E38" s="203">
        <f>SUM(E32:E36)-E37</f>
        <v>2766.4271829494946</v>
      </c>
      <c r="F38" s="203">
        <f t="shared" ref="F38:L38" si="18">SUM(F32:F36)-F37</f>
        <v>2990.1837929924523</v>
      </c>
      <c r="G38" s="203">
        <f t="shared" si="18"/>
        <v>3233.7633541738937</v>
      </c>
      <c r="H38" s="203">
        <f t="shared" si="18"/>
        <v>3493.7834916585466</v>
      </c>
      <c r="I38" s="203">
        <f t="shared" si="18"/>
        <v>3781.283895558377</v>
      </c>
      <c r="J38" s="203">
        <f t="shared" si="18"/>
        <v>4093.8428429769478</v>
      </c>
      <c r="K38" s="203">
        <f t="shared" si="18"/>
        <v>4433.497101891925</v>
      </c>
      <c r="L38" s="203">
        <f t="shared" si="18"/>
        <v>4804.7937176155374</v>
      </c>
    </row>
    <row r="39" spans="1:12" s="259" customFormat="1" ht="17.399999999999999" x14ac:dyDescent="0.3">
      <c r="A39" s="347" t="s">
        <v>355</v>
      </c>
      <c r="B39" s="207">
        <f>AVERAGE(B32,B38)</f>
        <v>1770.395</v>
      </c>
      <c r="C39" s="207">
        <f t="shared" ref="C39:D39" si="19">AVERAGE(C32,C38)</f>
        <v>2226.8099999999995</v>
      </c>
      <c r="D39" s="207">
        <f t="shared" si="19"/>
        <v>2502.7950000000001</v>
      </c>
      <c r="E39" s="348">
        <f>AVERAGE(E32,E38)</f>
        <v>2670.1335914747474</v>
      </c>
      <c r="F39" s="348">
        <f t="shared" ref="F39:L39" si="20">AVERAGE(F32,F38)</f>
        <v>2878.3054879709734</v>
      </c>
      <c r="G39" s="348">
        <f t="shared" si="20"/>
        <v>3111.9735735831728</v>
      </c>
      <c r="H39" s="348">
        <f t="shared" si="20"/>
        <v>3363.7734229162202</v>
      </c>
      <c r="I39" s="348">
        <f t="shared" si="20"/>
        <v>3637.5336936084618</v>
      </c>
      <c r="J39" s="348">
        <f t="shared" si="20"/>
        <v>3937.5633692676624</v>
      </c>
      <c r="K39" s="348">
        <f t="shared" si="20"/>
        <v>4263.6699724344362</v>
      </c>
      <c r="L39" s="348">
        <f t="shared" si="20"/>
        <v>4619.1454097537317</v>
      </c>
    </row>
    <row r="40" spans="1:12" s="259" customFormat="1" ht="17.399999999999999" x14ac:dyDescent="0.3">
      <c r="A40" s="258"/>
    </row>
    <row r="41" spans="1:12" s="259" customFormat="1" ht="17.399999999999999" x14ac:dyDescent="0.3">
      <c r="A41" s="183" t="s">
        <v>9</v>
      </c>
      <c r="B41" s="193"/>
      <c r="C41" s="193"/>
      <c r="D41" s="193"/>
      <c r="E41" s="193"/>
      <c r="F41" s="193"/>
      <c r="G41" s="193"/>
      <c r="H41" s="193"/>
      <c r="I41" s="193"/>
      <c r="J41" s="193"/>
      <c r="K41" s="193"/>
      <c r="L41" s="193"/>
    </row>
    <row r="42" spans="1:12" s="259" customFormat="1" ht="17.399999999999999" x14ac:dyDescent="0.3">
      <c r="A42" s="180" t="s">
        <v>109</v>
      </c>
      <c r="B42" s="188">
        <v>324.48</v>
      </c>
      <c r="C42" s="283">
        <v>486.29</v>
      </c>
      <c r="D42" s="283">
        <v>715.38</v>
      </c>
      <c r="E42" s="204">
        <f>D46</f>
        <v>939.54</v>
      </c>
      <c r="F42" s="204">
        <f t="shared" ref="F42:L42" si="21">E46</f>
        <v>1159.7527591286967</v>
      </c>
      <c r="G42" s="204">
        <f t="shared" si="21"/>
        <v>1392.1097352806237</v>
      </c>
      <c r="H42" s="204">
        <f t="shared" si="21"/>
        <v>1642.134564093514</v>
      </c>
      <c r="I42" s="204">
        <f t="shared" si="21"/>
        <v>1915.2083999613048</v>
      </c>
      <c r="J42" s="204">
        <f t="shared" si="21"/>
        <v>2208.940045363946</v>
      </c>
      <c r="K42" s="204">
        <f t="shared" si="21"/>
        <v>2526.9296254358233</v>
      </c>
      <c r="L42" s="204">
        <f t="shared" si="21"/>
        <v>2871.84487004427</v>
      </c>
    </row>
    <row r="43" spans="1:12" s="259" customFormat="1" ht="34.799999999999997" x14ac:dyDescent="0.3">
      <c r="A43" s="195" t="s">
        <v>298</v>
      </c>
      <c r="B43" s="188">
        <v>19.329999999999998</v>
      </c>
      <c r="C43" s="188">
        <v>51.53</v>
      </c>
      <c r="D43" s="188">
        <v>46.36</v>
      </c>
      <c r="E43" s="205">
        <v>0</v>
      </c>
      <c r="F43" s="205">
        <v>0</v>
      </c>
      <c r="G43" s="205">
        <v>0</v>
      </c>
      <c r="H43" s="205">
        <v>0</v>
      </c>
      <c r="I43" s="205">
        <v>0</v>
      </c>
      <c r="J43" s="205">
        <v>0</v>
      </c>
      <c r="K43" s="205">
        <v>0</v>
      </c>
      <c r="L43" s="205">
        <v>0</v>
      </c>
    </row>
    <row r="44" spans="1:12" s="259" customFormat="1" ht="17.399999999999999" x14ac:dyDescent="0.3">
      <c r="A44" s="195" t="s">
        <v>110</v>
      </c>
      <c r="B44" s="188">
        <v>155.28</v>
      </c>
      <c r="C44" s="188">
        <v>182.33</v>
      </c>
      <c r="D44" s="188">
        <v>194.79</v>
      </c>
      <c r="E44" s="205">
        <f>E21*E39</f>
        <v>220.21275912869663</v>
      </c>
      <c r="F44" s="205">
        <f t="shared" ref="F44:L44" si="22">F21*F39</f>
        <v>232.35697615192711</v>
      </c>
      <c r="G44" s="205">
        <f t="shared" si="22"/>
        <v>250.02482881289038</v>
      </c>
      <c r="H44" s="205">
        <f t="shared" si="22"/>
        <v>273.07383586779082</v>
      </c>
      <c r="I44" s="205">
        <f t="shared" si="22"/>
        <v>293.73164540264122</v>
      </c>
      <c r="J44" s="205">
        <f t="shared" si="22"/>
        <v>317.98958007187713</v>
      </c>
      <c r="K44" s="205">
        <f t="shared" si="22"/>
        <v>344.91524460844664</v>
      </c>
      <c r="L44" s="205">
        <f t="shared" si="22"/>
        <v>373.23388794117869</v>
      </c>
    </row>
    <row r="45" spans="1:12" s="259" customFormat="1" ht="17.399999999999999" x14ac:dyDescent="0.3">
      <c r="A45" s="196" t="s">
        <v>42</v>
      </c>
      <c r="B45" s="188">
        <v>12.8</v>
      </c>
      <c r="C45" s="188">
        <v>4.7699999999999996</v>
      </c>
      <c r="D45" s="188">
        <v>16.989999999999998</v>
      </c>
      <c r="E45" s="205">
        <v>0</v>
      </c>
      <c r="F45" s="205">
        <v>0</v>
      </c>
      <c r="G45" s="205">
        <v>0</v>
      </c>
      <c r="H45" s="205">
        <v>0</v>
      </c>
      <c r="I45" s="205">
        <v>0</v>
      </c>
      <c r="J45" s="205">
        <v>0</v>
      </c>
      <c r="K45" s="205">
        <v>0</v>
      </c>
      <c r="L45" s="205">
        <v>0</v>
      </c>
    </row>
    <row r="46" spans="1:12" s="259" customFormat="1" ht="17.399999999999999" x14ac:dyDescent="0.3">
      <c r="A46" s="199" t="s">
        <v>111</v>
      </c>
      <c r="B46" s="191">
        <f>SUM(B42:B44)-B45</f>
        <v>486.29</v>
      </c>
      <c r="C46" s="191">
        <f>SUM(C42:C44)-C45</f>
        <v>715.38000000000011</v>
      </c>
      <c r="D46" s="191">
        <f>SUM(D42:D44)-D45</f>
        <v>939.54</v>
      </c>
      <c r="E46" s="192">
        <f>SUM(E42:E44)-E45</f>
        <v>1159.7527591286967</v>
      </c>
      <c r="F46" s="192">
        <f t="shared" ref="F46:L46" si="23">SUM(F42:F44)-F45</f>
        <v>1392.1097352806237</v>
      </c>
      <c r="G46" s="192">
        <f t="shared" si="23"/>
        <v>1642.134564093514</v>
      </c>
      <c r="H46" s="192">
        <f t="shared" si="23"/>
        <v>1915.2083999613048</v>
      </c>
      <c r="I46" s="192">
        <f t="shared" si="23"/>
        <v>2208.940045363946</v>
      </c>
      <c r="J46" s="192">
        <f t="shared" si="23"/>
        <v>2526.9296254358233</v>
      </c>
      <c r="K46" s="192">
        <f t="shared" si="23"/>
        <v>2871.84487004427</v>
      </c>
      <c r="L46" s="192">
        <f t="shared" si="23"/>
        <v>3245.0787579854486</v>
      </c>
    </row>
    <row r="47" spans="1:12" s="259" customFormat="1" ht="17.399999999999999" x14ac:dyDescent="0.3">
      <c r="A47" s="199" t="s">
        <v>44</v>
      </c>
      <c r="B47" s="191">
        <f>B38-B46</f>
        <v>1535.5800000000002</v>
      </c>
      <c r="C47" s="191">
        <f>C38-C46</f>
        <v>1716.3699999999994</v>
      </c>
      <c r="D47" s="191">
        <f>D38-D46</f>
        <v>1634.3000000000002</v>
      </c>
      <c r="E47" s="192">
        <f>E38-E46</f>
        <v>1606.674423820798</v>
      </c>
      <c r="F47" s="192">
        <f t="shared" ref="F47:L47" si="24">F38-F46</f>
        <v>1598.0740577118286</v>
      </c>
      <c r="G47" s="192">
        <f t="shared" si="24"/>
        <v>1591.6287900803798</v>
      </c>
      <c r="H47" s="192">
        <f t="shared" si="24"/>
        <v>1578.5750916972418</v>
      </c>
      <c r="I47" s="192">
        <f t="shared" si="24"/>
        <v>1572.3438501944311</v>
      </c>
      <c r="J47" s="192">
        <f t="shared" si="24"/>
        <v>1566.9132175411246</v>
      </c>
      <c r="K47" s="192">
        <f t="shared" si="24"/>
        <v>1561.652231847655</v>
      </c>
      <c r="L47" s="192">
        <f t="shared" si="24"/>
        <v>1559.7149596300887</v>
      </c>
    </row>
    <row r="48" spans="1:12" s="259" customFormat="1" ht="17.399999999999999" x14ac:dyDescent="0.3">
      <c r="A48" s="258"/>
    </row>
    <row r="49" spans="1:12" s="259" customFormat="1" ht="17.399999999999999" x14ac:dyDescent="0.3">
      <c r="A49" s="197" t="s">
        <v>113</v>
      </c>
      <c r="B49" s="193"/>
      <c r="C49" s="193"/>
      <c r="D49" s="193"/>
      <c r="E49" s="193"/>
      <c r="F49" s="193"/>
      <c r="G49" s="193"/>
      <c r="H49" s="193"/>
      <c r="I49" s="193"/>
      <c r="J49" s="193"/>
      <c r="K49" s="193"/>
      <c r="L49" s="193"/>
    </row>
    <row r="50" spans="1:12" s="259" customFormat="1" ht="17.399999999999999" x14ac:dyDescent="0.3">
      <c r="A50" s="198" t="s">
        <v>107</v>
      </c>
      <c r="B50" s="188">
        <v>148.86000000000001</v>
      </c>
      <c r="C50" s="189">
        <f>B54</f>
        <v>157.72999999999999</v>
      </c>
      <c r="D50" s="189">
        <f>C54</f>
        <v>170.01</v>
      </c>
      <c r="E50" s="201">
        <f>D54</f>
        <v>169.91</v>
      </c>
      <c r="F50" s="201">
        <f t="shared" ref="F50:L50" si="25">E54</f>
        <v>185.66894214668218</v>
      </c>
      <c r="G50" s="201">
        <f t="shared" si="25"/>
        <v>202.78818405697075</v>
      </c>
      <c r="H50" s="201">
        <f t="shared" si="25"/>
        <v>221.30569119303368</v>
      </c>
      <c r="I50" s="201">
        <f t="shared" si="25"/>
        <v>241.61583782262346</v>
      </c>
      <c r="J50" s="201">
        <f t="shared" si="25"/>
        <v>263.71846821282952</v>
      </c>
      <c r="K50" s="201">
        <f t="shared" si="25"/>
        <v>287.7859875194867</v>
      </c>
      <c r="L50" s="201">
        <f t="shared" si="25"/>
        <v>314.05127715638156</v>
      </c>
    </row>
    <row r="51" spans="1:12" s="259" customFormat="1" ht="17.399999999999999" x14ac:dyDescent="0.3">
      <c r="A51" s="194" t="s">
        <v>43</v>
      </c>
      <c r="B51" s="190">
        <v>3.17</v>
      </c>
      <c r="C51" s="190">
        <v>3.68</v>
      </c>
      <c r="D51" s="190">
        <v>2.97</v>
      </c>
      <c r="E51" s="201">
        <f>('Income Statement'!E8-'Income Statement'!D8)/E24</f>
        <v>15.758942146682177</v>
      </c>
      <c r="F51" s="201">
        <f>('Income Statement'!F8-'Income Statement'!E8)/F24</f>
        <v>17.119241910288551</v>
      </c>
      <c r="G51" s="201">
        <f>('Income Statement'!G8-'Income Statement'!F8)/G24</f>
        <v>18.517507136062925</v>
      </c>
      <c r="H51" s="201">
        <f>('Income Statement'!H8-'Income Statement'!G8)/H24</f>
        <v>20.310146629589767</v>
      </c>
      <c r="I51" s="201">
        <f>('Income Statement'!I8-'Income Statement'!H8)/I24</f>
        <v>22.102630390206045</v>
      </c>
      <c r="J51" s="201">
        <f>('Income Statement'!J8-'Income Statement'!I8)/J24</f>
        <v>24.067519306657172</v>
      </c>
      <c r="K51" s="201">
        <f>('Income Statement'!K8-'Income Statement'!J8)/K24</f>
        <v>26.265289636894838</v>
      </c>
      <c r="L51" s="201">
        <f>('Income Statement'!L8-'Income Statement'!K8)/L24</f>
        <v>28.61576956630357</v>
      </c>
    </row>
    <row r="52" spans="1:12" s="259" customFormat="1" ht="17.399999999999999" x14ac:dyDescent="0.3">
      <c r="A52" s="346" t="s">
        <v>352</v>
      </c>
      <c r="B52" s="190">
        <v>5.7</v>
      </c>
      <c r="C52" s="190">
        <v>8.6</v>
      </c>
      <c r="D52" s="190">
        <v>-3.07</v>
      </c>
      <c r="E52" s="201">
        <v>0</v>
      </c>
      <c r="F52" s="201">
        <v>0</v>
      </c>
      <c r="G52" s="201">
        <v>0</v>
      </c>
      <c r="H52" s="201">
        <v>0</v>
      </c>
      <c r="I52" s="201">
        <v>0</v>
      </c>
      <c r="J52" s="201">
        <v>0</v>
      </c>
      <c r="K52" s="201">
        <v>0</v>
      </c>
      <c r="L52" s="201">
        <v>0</v>
      </c>
    </row>
    <row r="53" spans="1:12" s="259" customFormat="1" ht="17.399999999999999" x14ac:dyDescent="0.3">
      <c r="A53" s="196" t="s">
        <v>42</v>
      </c>
      <c r="B53" s="190"/>
      <c r="C53" s="190"/>
      <c r="D53" s="190"/>
      <c r="E53" s="201">
        <v>0</v>
      </c>
      <c r="F53" s="201">
        <v>0</v>
      </c>
      <c r="G53" s="201">
        <v>0</v>
      </c>
      <c r="H53" s="201">
        <v>0</v>
      </c>
      <c r="I53" s="201">
        <v>0</v>
      </c>
      <c r="J53" s="201">
        <v>0</v>
      </c>
      <c r="K53" s="201">
        <v>0</v>
      </c>
      <c r="L53" s="201">
        <v>0</v>
      </c>
    </row>
    <row r="54" spans="1:12" s="259" customFormat="1" ht="17.399999999999999" x14ac:dyDescent="0.3">
      <c r="A54" s="199" t="s">
        <v>108</v>
      </c>
      <c r="B54" s="191">
        <f>SUM(B50:B53)</f>
        <v>157.72999999999999</v>
      </c>
      <c r="C54" s="191">
        <f>SUM(C50:C53)</f>
        <v>170.01</v>
      </c>
      <c r="D54" s="191">
        <f>SUM(D50:D53)</f>
        <v>169.91</v>
      </c>
      <c r="E54" s="206">
        <f>SUM(E50:E52)-E53</f>
        <v>185.66894214668218</v>
      </c>
      <c r="F54" s="206">
        <f t="shared" ref="F54:L54" si="26">SUM(F50:F52)-F53</f>
        <v>202.78818405697075</v>
      </c>
      <c r="G54" s="206">
        <f t="shared" si="26"/>
        <v>221.30569119303368</v>
      </c>
      <c r="H54" s="206">
        <f t="shared" si="26"/>
        <v>241.61583782262346</v>
      </c>
      <c r="I54" s="206">
        <f t="shared" si="26"/>
        <v>263.71846821282952</v>
      </c>
      <c r="J54" s="206">
        <f t="shared" si="26"/>
        <v>287.7859875194867</v>
      </c>
      <c r="K54" s="206">
        <f t="shared" si="26"/>
        <v>314.05127715638156</v>
      </c>
      <c r="L54" s="206">
        <f t="shared" si="26"/>
        <v>342.66704672268514</v>
      </c>
    </row>
    <row r="55" spans="1:12" s="259" customFormat="1" ht="17.399999999999999" x14ac:dyDescent="0.3">
      <c r="A55" s="258" t="s">
        <v>356</v>
      </c>
      <c r="B55" s="259">
        <f>AVERAGE(B50,B54)</f>
        <v>153.29500000000002</v>
      </c>
      <c r="C55" s="259">
        <f t="shared" ref="C55:D55" si="27">AVERAGE(C50,C54)</f>
        <v>163.87</v>
      </c>
      <c r="D55" s="259">
        <f t="shared" si="27"/>
        <v>169.95999999999998</v>
      </c>
      <c r="E55" s="259">
        <f t="shared" ref="E55" si="28">AVERAGE(E50,E54)</f>
        <v>177.78947107334108</v>
      </c>
      <c r="F55" s="259">
        <f t="shared" ref="F55" si="29">AVERAGE(F50,F54)</f>
        <v>194.22856310182647</v>
      </c>
      <c r="G55" s="259">
        <f t="shared" ref="G55" si="30">AVERAGE(G50,G54)</f>
        <v>212.04693762500222</v>
      </c>
      <c r="H55" s="259">
        <f t="shared" ref="H55" si="31">AVERAGE(H50,H54)</f>
        <v>231.46076450782857</v>
      </c>
      <c r="I55" s="259">
        <f t="shared" ref="I55" si="32">AVERAGE(I50,I54)</f>
        <v>252.66715301772649</v>
      </c>
      <c r="J55" s="259">
        <f t="shared" ref="J55" si="33">AVERAGE(J50,J54)</f>
        <v>275.75222786615814</v>
      </c>
      <c r="K55" s="259">
        <f t="shared" ref="K55" si="34">AVERAGE(K50,K54)</f>
        <v>300.91863233793413</v>
      </c>
      <c r="L55" s="259">
        <f t="shared" ref="L55" si="35">AVERAGE(L50,L54)</f>
        <v>328.35916193953335</v>
      </c>
    </row>
    <row r="56" spans="1:12" s="259" customFormat="1" ht="17.399999999999999" x14ac:dyDescent="0.3">
      <c r="A56" s="197" t="s">
        <v>10</v>
      </c>
      <c r="B56" s="193"/>
      <c r="C56" s="193"/>
      <c r="D56" s="193"/>
      <c r="E56" s="193"/>
      <c r="F56" s="193"/>
      <c r="G56" s="193"/>
      <c r="H56" s="193"/>
      <c r="I56" s="193"/>
      <c r="J56" s="193"/>
      <c r="K56" s="193"/>
      <c r="L56" s="193"/>
    </row>
    <row r="57" spans="1:12" s="259" customFormat="1" ht="17.399999999999999" x14ac:dyDescent="0.3">
      <c r="A57" s="198" t="s">
        <v>112</v>
      </c>
      <c r="B57" s="188">
        <v>12.69</v>
      </c>
      <c r="C57" s="200">
        <f>B61</f>
        <v>19.739999999999998</v>
      </c>
      <c r="D57" s="200">
        <f>C61</f>
        <v>22.669999999999998</v>
      </c>
      <c r="E57" s="201">
        <f>D61</f>
        <v>25.47</v>
      </c>
      <c r="F57" s="201">
        <f t="shared" ref="F57:L57" si="36">E61</f>
        <v>30.23145388832906</v>
      </c>
      <c r="G57" s="201">
        <f t="shared" si="36"/>
        <v>34.189567077252278</v>
      </c>
      <c r="H57" s="201">
        <f t="shared" si="36"/>
        <v>38.687401907820103</v>
      </c>
      <c r="I57" s="201">
        <f t="shared" si="36"/>
        <v>43.962512959727398</v>
      </c>
      <c r="J57" s="201">
        <f t="shared" si="36"/>
        <v>49.384805747900437</v>
      </c>
      <c r="K57" s="201">
        <f t="shared" si="36"/>
        <v>55.401925764370027</v>
      </c>
      <c r="L57" s="201">
        <f t="shared" si="36"/>
        <v>62.029306399835647</v>
      </c>
    </row>
    <row r="58" spans="1:12" s="259" customFormat="1" ht="34.799999999999997" x14ac:dyDescent="0.3">
      <c r="A58" s="195" t="s">
        <v>299</v>
      </c>
      <c r="B58" s="190"/>
      <c r="C58" s="190"/>
      <c r="D58" s="190"/>
      <c r="E58" s="201">
        <v>0</v>
      </c>
      <c r="F58" s="201">
        <v>0</v>
      </c>
      <c r="G58" s="201">
        <v>0</v>
      </c>
      <c r="H58" s="201">
        <v>0</v>
      </c>
      <c r="I58" s="201">
        <v>0</v>
      </c>
      <c r="J58" s="201">
        <v>0</v>
      </c>
      <c r="K58" s="201">
        <v>0</v>
      </c>
      <c r="L58" s="201">
        <v>0</v>
      </c>
    </row>
    <row r="59" spans="1:12" s="259" customFormat="1" ht="17.399999999999999" x14ac:dyDescent="0.3">
      <c r="A59" s="195" t="s">
        <v>114</v>
      </c>
      <c r="B59" s="190">
        <v>7.05</v>
      </c>
      <c r="C59" s="190">
        <v>2.93</v>
      </c>
      <c r="D59" s="190">
        <v>2.8</v>
      </c>
      <c r="E59" s="201">
        <f>E22*E55</f>
        <v>4.7614538883290605</v>
      </c>
      <c r="F59" s="201">
        <f t="shared" ref="F59:L59" si="37">F22*F55</f>
        <v>3.9581131889232166</v>
      </c>
      <c r="G59" s="201">
        <f t="shared" si="37"/>
        <v>4.497834830567828</v>
      </c>
      <c r="H59" s="201">
        <f t="shared" si="37"/>
        <v>5.2751110519072935</v>
      </c>
      <c r="I59" s="201">
        <f t="shared" si="37"/>
        <v>5.4222927881730376</v>
      </c>
      <c r="J59" s="201">
        <f t="shared" si="37"/>
        <v>6.017120016469593</v>
      </c>
      <c r="K59" s="201">
        <f t="shared" si="37"/>
        <v>6.6273806354656219</v>
      </c>
      <c r="L59" s="201">
        <f t="shared" si="37"/>
        <v>7.1478096184679902</v>
      </c>
    </row>
    <row r="60" spans="1:12" s="259" customFormat="1" ht="17.399999999999999" x14ac:dyDescent="0.3">
      <c r="A60" s="196" t="s">
        <v>42</v>
      </c>
      <c r="B60" s="190"/>
      <c r="C60" s="190"/>
      <c r="D60" s="190"/>
      <c r="E60" s="201">
        <v>0</v>
      </c>
      <c r="F60" s="201">
        <v>0</v>
      </c>
      <c r="G60" s="201">
        <v>0</v>
      </c>
      <c r="H60" s="201">
        <v>0</v>
      </c>
      <c r="I60" s="201">
        <v>0</v>
      </c>
      <c r="J60" s="201">
        <v>0</v>
      </c>
      <c r="K60" s="201">
        <v>0</v>
      </c>
      <c r="L60" s="201">
        <v>0</v>
      </c>
    </row>
    <row r="61" spans="1:12" s="259" customFormat="1" ht="17.399999999999999" x14ac:dyDescent="0.3">
      <c r="A61" s="199" t="s">
        <v>111</v>
      </c>
      <c r="B61" s="207">
        <f>SUM(B57:B60)</f>
        <v>19.739999999999998</v>
      </c>
      <c r="C61" s="207">
        <f>SUM(C57:C60)</f>
        <v>22.669999999999998</v>
      </c>
      <c r="D61" s="207">
        <f>SUM(D57:D60)</f>
        <v>25.47</v>
      </c>
      <c r="E61" s="206">
        <f>SUM(E57:E59)-E60</f>
        <v>30.23145388832906</v>
      </c>
      <c r="F61" s="206">
        <f t="shared" ref="F61:L61" si="38">SUM(F57:F59)-F60</f>
        <v>34.189567077252278</v>
      </c>
      <c r="G61" s="206">
        <f t="shared" si="38"/>
        <v>38.687401907820103</v>
      </c>
      <c r="H61" s="206">
        <f t="shared" si="38"/>
        <v>43.962512959727398</v>
      </c>
      <c r="I61" s="206">
        <f t="shared" si="38"/>
        <v>49.384805747900437</v>
      </c>
      <c r="J61" s="206">
        <f t="shared" si="38"/>
        <v>55.401925764370027</v>
      </c>
      <c r="K61" s="206">
        <f t="shared" si="38"/>
        <v>62.029306399835647</v>
      </c>
      <c r="L61" s="206">
        <f t="shared" si="38"/>
        <v>69.177116018303636</v>
      </c>
    </row>
    <row r="62" spans="1:12" s="259" customFormat="1" ht="17.399999999999999" x14ac:dyDescent="0.3">
      <c r="A62" s="199" t="s">
        <v>44</v>
      </c>
      <c r="B62" s="191">
        <f>B54-B61</f>
        <v>137.98999999999998</v>
      </c>
      <c r="C62" s="191">
        <f>C54-C61</f>
        <v>147.34</v>
      </c>
      <c r="D62" s="191">
        <f>D54-D61</f>
        <v>144.44</v>
      </c>
      <c r="E62" s="192">
        <f>E54-E61</f>
        <v>155.43748825835311</v>
      </c>
      <c r="F62" s="192">
        <f t="shared" ref="F62:L62" si="39">F54-F61</f>
        <v>168.59861697971849</v>
      </c>
      <c r="G62" s="192">
        <f t="shared" si="39"/>
        <v>182.61828928521356</v>
      </c>
      <c r="H62" s="192">
        <f t="shared" si="39"/>
        <v>197.65332486289606</v>
      </c>
      <c r="I62" s="192">
        <f t="shared" si="39"/>
        <v>214.33366246492909</v>
      </c>
      <c r="J62" s="192">
        <f t="shared" si="39"/>
        <v>232.38406175511668</v>
      </c>
      <c r="K62" s="192">
        <f t="shared" si="39"/>
        <v>252.0219707565459</v>
      </c>
      <c r="L62" s="192">
        <f t="shared" si="39"/>
        <v>273.48993070438149</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16"/>
  <sheetViews>
    <sheetView showGridLines="0" tabSelected="1" zoomScale="87" zoomScaleNormal="55" workbookViewId="0">
      <selection activeCell="N32" sqref="N32"/>
    </sheetView>
  </sheetViews>
  <sheetFormatPr defaultRowHeight="14.4" x14ac:dyDescent="0.3"/>
  <cols>
    <col min="1" max="1" width="43.21875" bestFit="1" customWidth="1"/>
    <col min="2" max="3" width="10.88671875" bestFit="1" customWidth="1"/>
    <col min="4" max="4" width="13.88671875" customWidth="1"/>
    <col min="5" max="5" width="10.6640625" customWidth="1"/>
    <col min="6" max="6" width="10.44140625" customWidth="1"/>
    <col min="7" max="7" width="10.6640625" customWidth="1"/>
    <col min="8" max="8" width="10.33203125" customWidth="1"/>
    <col min="9" max="9" width="11.44140625" customWidth="1"/>
    <col min="10" max="11" width="10.44140625" bestFit="1" customWidth="1"/>
    <col min="12" max="12" width="10.77734375" bestFit="1" customWidth="1"/>
  </cols>
  <sheetData>
    <row r="1" spans="1:13" s="105" customFormat="1" ht="35.4" customHeight="1" x14ac:dyDescent="0.3">
      <c r="A1" s="131" t="s">
        <v>351</v>
      </c>
      <c r="B1" s="132"/>
      <c r="C1" s="132"/>
      <c r="D1" s="132"/>
      <c r="E1" s="132"/>
      <c r="F1" s="132"/>
      <c r="G1" s="132"/>
      <c r="H1" s="132"/>
      <c r="I1" s="132"/>
      <c r="J1" s="132"/>
      <c r="K1" s="132"/>
      <c r="L1" s="132"/>
    </row>
    <row r="2" spans="1:13" s="105" customFormat="1" ht="21.6" customHeight="1" x14ac:dyDescent="0.3">
      <c r="A2" s="133" t="s">
        <v>268</v>
      </c>
      <c r="B2" s="134"/>
      <c r="C2" s="134"/>
      <c r="D2" s="134"/>
      <c r="E2" s="134"/>
      <c r="F2" s="134"/>
      <c r="G2" s="134"/>
      <c r="H2" s="134"/>
      <c r="I2" s="134"/>
      <c r="J2" s="134"/>
      <c r="K2" s="134"/>
      <c r="L2" s="134"/>
    </row>
    <row r="3" spans="1:13" s="105" customFormat="1" x14ac:dyDescent="0.3">
      <c r="A3" s="61"/>
      <c r="B3" s="61"/>
      <c r="C3" s="61"/>
      <c r="D3" s="61"/>
      <c r="E3" s="61"/>
      <c r="F3" s="61"/>
      <c r="G3" s="61"/>
      <c r="H3" s="61"/>
      <c r="I3" s="61"/>
      <c r="J3" s="61"/>
      <c r="K3" s="61"/>
      <c r="L3" s="61"/>
    </row>
    <row r="4" spans="1:13" s="105" customFormat="1" x14ac:dyDescent="0.3">
      <c r="A4" s="135"/>
      <c r="B4" s="4"/>
      <c r="C4" s="4"/>
      <c r="D4" s="4"/>
      <c r="E4" s="4"/>
      <c r="F4" s="4"/>
      <c r="G4" s="4"/>
      <c r="H4" s="4"/>
      <c r="I4" s="4"/>
      <c r="J4" s="4"/>
      <c r="K4" s="4"/>
      <c r="L4" s="4"/>
    </row>
    <row r="5" spans="1:13" s="105" customFormat="1" x14ac:dyDescent="0.3">
      <c r="B5" s="343"/>
    </row>
    <row r="6" spans="1:13" x14ac:dyDescent="0.3">
      <c r="A6" s="166" t="s">
        <v>64</v>
      </c>
      <c r="B6" s="151" t="str">
        <f>Assumptions!B5</f>
        <v>FY2019 A</v>
      </c>
      <c r="C6" s="151" t="str">
        <f>Assumptions!C5</f>
        <v>FY2020 A</v>
      </c>
      <c r="D6" s="151" t="str">
        <f>Assumptions!D5</f>
        <v>FY2021 A</v>
      </c>
      <c r="E6" s="151" t="str">
        <f>Assumptions!E5</f>
        <v>FY2022 E</v>
      </c>
      <c r="F6" s="151" t="str">
        <f>Assumptions!F5</f>
        <v>FY2023 E</v>
      </c>
      <c r="G6" s="151" t="str">
        <f>Assumptions!G5</f>
        <v>FY2024 E</v>
      </c>
      <c r="H6" s="151" t="str">
        <f>Assumptions!H5</f>
        <v>FY2025 E</v>
      </c>
      <c r="I6" s="151" t="str">
        <f>Assumptions!I5</f>
        <v>FY2026 E</v>
      </c>
      <c r="J6" s="151" t="str">
        <f>Assumptions!J5</f>
        <v>FY2027 E</v>
      </c>
      <c r="K6" s="151" t="str">
        <f>Assumptions!K5</f>
        <v>FY2028 E</v>
      </c>
      <c r="L6" s="151" t="str">
        <f>Assumptions!L5</f>
        <v>FY2029 E</v>
      </c>
      <c r="M6" s="137"/>
    </row>
    <row r="7" spans="1:13" x14ac:dyDescent="0.3">
      <c r="A7" s="148" t="s">
        <v>236</v>
      </c>
      <c r="B7" s="244">
        <v>11054</v>
      </c>
      <c r="C7" s="244">
        <v>11599</v>
      </c>
      <c r="D7" s="244">
        <v>13136</v>
      </c>
      <c r="E7" s="153">
        <f>D7+D7*Assumptions!E7</f>
        <v>14318.24</v>
      </c>
      <c r="F7" s="153">
        <f>E7+E7*Assumptions!F7</f>
        <v>15606.881600000001</v>
      </c>
      <c r="G7" s="153">
        <f>F7+F7*Assumptions!G7</f>
        <v>17011.500943999999</v>
      </c>
      <c r="H7" s="153">
        <f>G7+G7*Assumptions!H7</f>
        <v>18542.536028959999</v>
      </c>
      <c r="I7" s="153">
        <f>H7+H7*Assumptions!I7</f>
        <v>20211.364271566399</v>
      </c>
      <c r="J7" s="153">
        <f>I7+I7*Assumptions!J7</f>
        <v>22030.387056007374</v>
      </c>
      <c r="K7" s="153">
        <f>J7+J7*Assumptions!K7</f>
        <v>24013.121891048038</v>
      </c>
      <c r="L7" s="153">
        <f>K7+K7*Assumptions!L7</f>
        <v>26174.302861242362</v>
      </c>
      <c r="M7" s="138"/>
    </row>
    <row r="8" spans="1:13" x14ac:dyDescent="0.3">
      <c r="A8" s="167" t="s">
        <v>237</v>
      </c>
      <c r="B8" s="154">
        <f t="shared" ref="B8:L8" si="0">SUM(B7:B7)</f>
        <v>11054</v>
      </c>
      <c r="C8" s="154">
        <f t="shared" si="0"/>
        <v>11599</v>
      </c>
      <c r="D8" s="154">
        <f t="shared" si="0"/>
        <v>13136</v>
      </c>
      <c r="E8" s="157">
        <f t="shared" si="0"/>
        <v>14318.24</v>
      </c>
      <c r="F8" s="157">
        <f t="shared" si="0"/>
        <v>15606.881600000001</v>
      </c>
      <c r="G8" s="157">
        <f t="shared" si="0"/>
        <v>17011.500943999999</v>
      </c>
      <c r="H8" s="157">
        <f t="shared" si="0"/>
        <v>18542.536028959999</v>
      </c>
      <c r="I8" s="157">
        <f t="shared" si="0"/>
        <v>20211.364271566399</v>
      </c>
      <c r="J8" s="157">
        <f t="shared" si="0"/>
        <v>22030.387056007374</v>
      </c>
      <c r="K8" s="157">
        <f t="shared" si="0"/>
        <v>24013.121891048038</v>
      </c>
      <c r="L8" s="157">
        <f t="shared" si="0"/>
        <v>26174.302861242362</v>
      </c>
      <c r="M8" s="138"/>
    </row>
    <row r="9" spans="1:13" x14ac:dyDescent="0.3">
      <c r="A9" s="148" t="s">
        <v>238</v>
      </c>
      <c r="B9" s="244">
        <v>-5513</v>
      </c>
      <c r="C9" s="244">
        <v>-5901.16</v>
      </c>
      <c r="D9" s="244">
        <v>-6502</v>
      </c>
      <c r="E9" s="344">
        <f>E8*Assumptions!E8*-1</f>
        <v>-8454.1093440735003</v>
      </c>
      <c r="F9" s="344">
        <f>F8*Assumptions!F8*-1</f>
        <v>-9198.8652514363948</v>
      </c>
      <c r="G9" s="344">
        <f>G8*Assumptions!G8*-1</f>
        <v>-9982.3271965864642</v>
      </c>
      <c r="H9" s="344">
        <f>H8*Assumptions!H8*-1</f>
        <v>-10919.408406418996</v>
      </c>
      <c r="I9" s="344">
        <f>I8*Assumptions!I8*-1</f>
        <v>-11891.651790987835</v>
      </c>
      <c r="J9" s="344">
        <f>J8*Assumptions!J8*-1</f>
        <v>-12954.217595637107</v>
      </c>
      <c r="K9" s="344">
        <f>K8*Assumptions!K8*-1</f>
        <v>-14129.839740424493</v>
      </c>
      <c r="L9" s="344">
        <f>L8*Assumptions!L8*-1</f>
        <v>-15397.48838989011</v>
      </c>
      <c r="M9" s="138"/>
    </row>
    <row r="10" spans="1:13" x14ac:dyDescent="0.3">
      <c r="A10" s="148" t="s">
        <v>239</v>
      </c>
      <c r="B10" s="244">
        <v>-1103</v>
      </c>
      <c r="C10" s="244">
        <v>-973.74</v>
      </c>
      <c r="D10" s="244">
        <v>-1161</v>
      </c>
      <c r="E10" s="155">
        <v>0</v>
      </c>
      <c r="F10" s="155">
        <v>0</v>
      </c>
      <c r="G10" s="153">
        <v>0</v>
      </c>
      <c r="H10" s="153">
        <v>0</v>
      </c>
      <c r="I10" s="153">
        <v>0</v>
      </c>
      <c r="J10" s="153">
        <v>0</v>
      </c>
      <c r="K10" s="153">
        <v>0</v>
      </c>
      <c r="L10" s="153">
        <v>0</v>
      </c>
      <c r="M10" s="138"/>
    </row>
    <row r="11" spans="1:13" s="136" customFormat="1" x14ac:dyDescent="0.3">
      <c r="A11" s="148" t="s">
        <v>281</v>
      </c>
      <c r="B11" s="244">
        <v>0</v>
      </c>
      <c r="C11" s="244">
        <v>0</v>
      </c>
      <c r="D11" s="244">
        <v>0</v>
      </c>
      <c r="E11" s="155"/>
      <c r="F11" s="155"/>
      <c r="G11" s="153"/>
      <c r="H11" s="153"/>
      <c r="I11" s="153"/>
      <c r="J11" s="153"/>
      <c r="K11" s="153"/>
      <c r="L11" s="153"/>
      <c r="M11" s="138"/>
    </row>
    <row r="12" spans="1:13" x14ac:dyDescent="0.3">
      <c r="A12" s="148" t="s">
        <v>240</v>
      </c>
      <c r="B12" s="244">
        <v>55</v>
      </c>
      <c r="C12" s="244">
        <v>-52.57</v>
      </c>
      <c r="D12" s="244">
        <v>37</v>
      </c>
      <c r="E12" s="155">
        <v>0</v>
      </c>
      <c r="F12" s="155">
        <v>0</v>
      </c>
      <c r="G12" s="153">
        <v>0</v>
      </c>
      <c r="H12" s="153">
        <v>0</v>
      </c>
      <c r="I12" s="153">
        <v>0</v>
      </c>
      <c r="J12" s="153">
        <v>0</v>
      </c>
      <c r="K12" s="153">
        <v>0</v>
      </c>
      <c r="L12" s="153">
        <v>0</v>
      </c>
      <c r="M12" s="138"/>
    </row>
    <row r="13" spans="1:13" x14ac:dyDescent="0.3">
      <c r="A13" s="167" t="s">
        <v>241</v>
      </c>
      <c r="B13" s="156">
        <f>SUM(B9:B12)</f>
        <v>-6561</v>
      </c>
      <c r="C13" s="156">
        <f t="shared" ref="C13:D13" si="1">SUM(C9:C12)</f>
        <v>-6927.4699999999993</v>
      </c>
      <c r="D13" s="156">
        <f t="shared" si="1"/>
        <v>-7626</v>
      </c>
      <c r="E13" s="344">
        <f>SUM(E9:E12)</f>
        <v>-8454.1093440735003</v>
      </c>
      <c r="F13" s="344">
        <f t="shared" ref="F13:L13" si="2">SUM(F9:F12)</f>
        <v>-9198.8652514363948</v>
      </c>
      <c r="G13" s="344">
        <f t="shared" si="2"/>
        <v>-9982.3271965864642</v>
      </c>
      <c r="H13" s="344">
        <f t="shared" si="2"/>
        <v>-10919.408406418996</v>
      </c>
      <c r="I13" s="344">
        <f t="shared" si="2"/>
        <v>-11891.651790987835</v>
      </c>
      <c r="J13" s="344">
        <f t="shared" si="2"/>
        <v>-12954.217595637107</v>
      </c>
      <c r="K13" s="344">
        <f t="shared" si="2"/>
        <v>-14129.839740424493</v>
      </c>
      <c r="L13" s="344">
        <f t="shared" si="2"/>
        <v>-15397.48838989011</v>
      </c>
      <c r="M13" s="138"/>
    </row>
    <row r="14" spans="1:13" s="103" customFormat="1" x14ac:dyDescent="0.3">
      <c r="A14" s="167" t="s">
        <v>170</v>
      </c>
      <c r="B14" s="154">
        <f>B8+B13</f>
        <v>4493</v>
      </c>
      <c r="C14" s="154">
        <f t="shared" ref="C14:D14" si="3">C8+C13</f>
        <v>4671.5300000000007</v>
      </c>
      <c r="D14" s="154">
        <f t="shared" si="3"/>
        <v>5510</v>
      </c>
      <c r="E14" s="157">
        <f>E8+E13</f>
        <v>5864.1306559264995</v>
      </c>
      <c r="F14" s="157">
        <f t="shared" ref="F14:L14" si="4">F8+F13</f>
        <v>6408.0163485636058</v>
      </c>
      <c r="G14" s="157">
        <f t="shared" si="4"/>
        <v>7029.1737474135352</v>
      </c>
      <c r="H14" s="157">
        <f t="shared" si="4"/>
        <v>7623.1276225410038</v>
      </c>
      <c r="I14" s="157">
        <f t="shared" si="4"/>
        <v>8319.7124805785643</v>
      </c>
      <c r="J14" s="157">
        <f t="shared" si="4"/>
        <v>9076.1694603702672</v>
      </c>
      <c r="K14" s="157">
        <f t="shared" si="4"/>
        <v>9883.282150623545</v>
      </c>
      <c r="L14" s="157">
        <f t="shared" si="4"/>
        <v>10776.814471352252</v>
      </c>
      <c r="M14" s="138"/>
    </row>
    <row r="15" spans="1:13" x14ac:dyDescent="0.3">
      <c r="A15" s="148" t="s">
        <v>242</v>
      </c>
      <c r="B15" s="244">
        <v>441</v>
      </c>
      <c r="C15" s="244">
        <v>487</v>
      </c>
      <c r="D15" s="244">
        <v>527</v>
      </c>
      <c r="E15" s="158">
        <f>E$7*Assumptions!E9</f>
        <v>582.27603051109554</v>
      </c>
      <c r="F15" s="158">
        <f>F$7*Assumptions!F9</f>
        <v>638.69533521306539</v>
      </c>
      <c r="G15" s="158">
        <f>G$7*Assumptions!G9</f>
        <v>690.15345007749136</v>
      </c>
      <c r="H15" s="158">
        <f>H$7*Assumptions!H9</f>
        <v>755.05517795595404</v>
      </c>
      <c r="I15" s="158">
        <f>I$7*Assumptions!I9</f>
        <v>823.37014642489953</v>
      </c>
      <c r="J15" s="158">
        <f>J$7*Assumptions!J9</f>
        <v>896.10774961100446</v>
      </c>
      <c r="K15" s="158">
        <f>K$7*Assumptions!K9</f>
        <v>977.60729003217966</v>
      </c>
      <c r="L15" s="158">
        <f>L$7*Assumptions!L9</f>
        <v>1065.5152602674673</v>
      </c>
      <c r="M15" s="138"/>
    </row>
    <row r="16" spans="1:13" x14ac:dyDescent="0.3">
      <c r="A16" s="324" t="s">
        <v>346</v>
      </c>
      <c r="B16" s="244">
        <v>553</v>
      </c>
      <c r="C16" s="244">
        <v>600</v>
      </c>
      <c r="D16" s="244">
        <v>655</v>
      </c>
      <c r="E16" s="158">
        <f>E$7*Assumptions!E10</f>
        <v>723.63768691146629</v>
      </c>
      <c r="F16" s="158">
        <f>F$7*Assumptions!F10</f>
        <v>791.43089067246729</v>
      </c>
      <c r="G16" s="158">
        <f>G$7*Assumptions!G10</f>
        <v>856.88586721750073</v>
      </c>
      <c r="H16" s="158">
        <f>H$7*Assumptions!H10</f>
        <v>937.14547550610109</v>
      </c>
      <c r="I16" s="158">
        <f>I$7*Assumptions!I10</f>
        <v>1021.4935406864792</v>
      </c>
      <c r="J16" s="158">
        <f>J$7*Assumptions!J10</f>
        <v>1112.1808488446245</v>
      </c>
      <c r="K16" s="158">
        <f>K$7*Assumptions!K10</f>
        <v>1213.1813896431458</v>
      </c>
      <c r="L16" s="158">
        <f>L$7*Assumptions!L10</f>
        <v>1322.2045132416661</v>
      </c>
      <c r="M16" s="138"/>
    </row>
    <row r="17" spans="1:13" x14ac:dyDescent="0.3">
      <c r="A17" s="324" t="s">
        <v>347</v>
      </c>
      <c r="B17" s="244">
        <v>501</v>
      </c>
      <c r="C17" s="244">
        <v>475</v>
      </c>
      <c r="D17" s="244">
        <v>452</v>
      </c>
      <c r="E17" s="158">
        <f>E$7*Assumptions!E11</f>
        <v>575.99426948741893</v>
      </c>
      <c r="F17" s="158">
        <f>F$7*Assumptions!F11</f>
        <v>601.32831475257024</v>
      </c>
      <c r="G17" s="158">
        <f>G$7*Assumptions!G11</f>
        <v>641.71325421943459</v>
      </c>
      <c r="H17" s="158">
        <f>H$7*Assumptions!H11</f>
        <v>719.94496689224502</v>
      </c>
      <c r="I17" s="158">
        <f>I$7*Assumptions!I11</f>
        <v>775.29904579212121</v>
      </c>
      <c r="J17" s="158">
        <f>J$7*Assumptions!J11</f>
        <v>843.82661632554289</v>
      </c>
      <c r="K17" s="158">
        <f>K$7*Assumptions!K11</f>
        <v>924.41780620998611</v>
      </c>
      <c r="L17" s="158">
        <f>L$7*Assumptions!L11</f>
        <v>1004.7335198661292</v>
      </c>
      <c r="M17" s="138"/>
    </row>
    <row r="18" spans="1:13" x14ac:dyDescent="0.3">
      <c r="A18" s="324" t="s">
        <v>348</v>
      </c>
      <c r="B18" s="244">
        <v>513</v>
      </c>
      <c r="C18" s="244">
        <v>508</v>
      </c>
      <c r="D18" s="244">
        <v>569</v>
      </c>
      <c r="E18" s="158">
        <f>E$7*Assumptions!E12</f>
        <v>637.26427921043603</v>
      </c>
      <c r="F18" s="158">
        <f>F$7*Assumptions!F12</f>
        <v>684.72655666213802</v>
      </c>
      <c r="G18" s="158">
        <f>G$7*Assumptions!G12</f>
        <v>746.78571263054982</v>
      </c>
      <c r="H18" s="158">
        <f>H$7*Assumptions!H12</f>
        <v>817.59859032639906</v>
      </c>
      <c r="I18" s="158">
        <f>I$7*Assumptions!I12</f>
        <v>888.39310552658105</v>
      </c>
      <c r="J18" s="158">
        <f>J$7*Assumptions!J12</f>
        <v>968.94884161099867</v>
      </c>
      <c r="K18" s="158">
        <f>K$7*Assumptions!K12</f>
        <v>1056.8226569546418</v>
      </c>
      <c r="L18" s="158">
        <f>L$7*Assumptions!L12</f>
        <v>1151.2132166185233</v>
      </c>
      <c r="M18" s="138"/>
    </row>
    <row r="19" spans="1:13" x14ac:dyDescent="0.3">
      <c r="A19" s="324" t="s">
        <v>349</v>
      </c>
      <c r="B19" s="244">
        <f>2317 -SUM(B16:B18)</f>
        <v>750</v>
      </c>
      <c r="C19" s="342">
        <f>2342-SUM(C16:C18)</f>
        <v>759</v>
      </c>
      <c r="D19" s="244">
        <f>2473-SUM(D16:D18)</f>
        <v>797</v>
      </c>
      <c r="E19" s="158">
        <f>E$7*Assumptions!E13</f>
        <v>925.71420167655549</v>
      </c>
      <c r="F19" s="158">
        <f>F$7*Assumptions!F13</f>
        <v>992.40220927719452</v>
      </c>
      <c r="G19" s="158">
        <f>G$7*Assumptions!G13</f>
        <v>1071.2325213746858</v>
      </c>
      <c r="H19" s="158">
        <f>H$7*Assumptions!H13</f>
        <v>1181.8477500078768</v>
      </c>
      <c r="I19" s="158">
        <f>I$7*Assumptions!I13</f>
        <v>1282.0450156106285</v>
      </c>
      <c r="J19" s="158">
        <f>J$7*Assumptions!J13</f>
        <v>1396.2865199077603</v>
      </c>
      <c r="K19" s="158">
        <f>K$7*Assumptions!K13</f>
        <v>1525.225699863799</v>
      </c>
      <c r="L19" s="158">
        <f>L$7*Assumptions!L13</f>
        <v>1660.5698338917225</v>
      </c>
      <c r="M19" s="138"/>
    </row>
    <row r="20" spans="1:13" s="136" customFormat="1" x14ac:dyDescent="0.3">
      <c r="A20" s="148" t="s">
        <v>282</v>
      </c>
      <c r="B20" s="152">
        <v>0</v>
      </c>
      <c r="C20" s="152">
        <v>0</v>
      </c>
      <c r="D20" s="152">
        <v>0</v>
      </c>
      <c r="E20" s="158">
        <v>0</v>
      </c>
      <c r="F20" s="158">
        <v>0</v>
      </c>
      <c r="G20" s="158">
        <v>0</v>
      </c>
      <c r="H20" s="158">
        <v>0</v>
      </c>
      <c r="I20" s="158">
        <v>0</v>
      </c>
      <c r="J20" s="158">
        <v>0</v>
      </c>
      <c r="K20" s="158">
        <v>0</v>
      </c>
      <c r="L20" s="158">
        <v>0</v>
      </c>
      <c r="M20" s="138"/>
    </row>
    <row r="21" spans="1:13" s="136" customFormat="1" x14ac:dyDescent="0.3">
      <c r="A21" s="148" t="s">
        <v>283</v>
      </c>
      <c r="B21" s="152">
        <v>0</v>
      </c>
      <c r="C21" s="152">
        <v>0</v>
      </c>
      <c r="D21" s="152">
        <v>0</v>
      </c>
      <c r="E21" s="158">
        <v>0</v>
      </c>
      <c r="F21" s="158">
        <v>0</v>
      </c>
      <c r="G21" s="158">
        <v>0</v>
      </c>
      <c r="H21" s="158">
        <v>0</v>
      </c>
      <c r="I21" s="158">
        <v>0</v>
      </c>
      <c r="J21" s="158">
        <v>0</v>
      </c>
      <c r="K21" s="158">
        <v>0</v>
      </c>
      <c r="L21" s="158">
        <v>0</v>
      </c>
      <c r="M21" s="138"/>
    </row>
    <row r="22" spans="1:13" x14ac:dyDescent="0.3">
      <c r="A22" s="167" t="s">
        <v>243</v>
      </c>
      <c r="B22" s="154">
        <f>SUM(B15:B21)</f>
        <v>2758</v>
      </c>
      <c r="C22" s="154">
        <f>SUM(C15:C21)</f>
        <v>2829</v>
      </c>
      <c r="D22" s="154">
        <f>SUM(D15:D21)</f>
        <v>3000</v>
      </c>
      <c r="E22" s="157">
        <f>SUM(E15:E21)</f>
        <v>3444.8864677969723</v>
      </c>
      <c r="F22" s="157">
        <f t="shared" ref="F22:L22" si="5">SUM(F15:F21)</f>
        <v>3708.5833065774359</v>
      </c>
      <c r="G22" s="157">
        <f t="shared" si="5"/>
        <v>4006.7708055196622</v>
      </c>
      <c r="H22" s="157">
        <f t="shared" si="5"/>
        <v>4411.5919606885764</v>
      </c>
      <c r="I22" s="157">
        <f t="shared" si="5"/>
        <v>4790.6008540407092</v>
      </c>
      <c r="J22" s="157">
        <f t="shared" si="5"/>
        <v>5217.3505762999312</v>
      </c>
      <c r="K22" s="157">
        <f t="shared" si="5"/>
        <v>5697.2548427037527</v>
      </c>
      <c r="L22" s="157">
        <f t="shared" si="5"/>
        <v>6204.2363438855082</v>
      </c>
      <c r="M22" s="138"/>
    </row>
    <row r="23" spans="1:13" x14ac:dyDescent="0.3">
      <c r="A23" s="167" t="s">
        <v>2</v>
      </c>
      <c r="B23" s="154">
        <f>B14-B22</f>
        <v>1735</v>
      </c>
      <c r="C23" s="154">
        <f t="shared" ref="C23:D23" si="6">C14-C22</f>
        <v>1842.5300000000007</v>
      </c>
      <c r="D23" s="154">
        <f t="shared" si="6"/>
        <v>2510</v>
      </c>
      <c r="E23" s="157">
        <f>E14-E22</f>
        <v>2419.2441881295272</v>
      </c>
      <c r="F23" s="157">
        <f t="shared" ref="F23:L23" si="7">F14-F22</f>
        <v>2699.4330419861699</v>
      </c>
      <c r="G23" s="157">
        <f t="shared" si="7"/>
        <v>3022.402941893873</v>
      </c>
      <c r="H23" s="157">
        <f t="shared" si="7"/>
        <v>3211.5356618524274</v>
      </c>
      <c r="I23" s="157">
        <f t="shared" si="7"/>
        <v>3529.111626537855</v>
      </c>
      <c r="J23" s="157">
        <f t="shared" si="7"/>
        <v>3858.818884070336</v>
      </c>
      <c r="K23" s="157">
        <f t="shared" si="7"/>
        <v>4186.0273079197923</v>
      </c>
      <c r="L23" s="157">
        <f t="shared" si="7"/>
        <v>4572.5781274667443</v>
      </c>
      <c r="M23" s="138"/>
    </row>
    <row r="24" spans="1:13" x14ac:dyDescent="0.3">
      <c r="A24" s="148" t="s">
        <v>357</v>
      </c>
      <c r="B24" s="152">
        <v>-161.88</v>
      </c>
      <c r="C24" s="152">
        <v>-184.81</v>
      </c>
      <c r="D24" s="152">
        <v>-197.85</v>
      </c>
      <c r="E24" s="158">
        <f>(Assumptions!E44+Assumptions!E59)*-1</f>
        <v>-224.9742130170257</v>
      </c>
      <c r="F24" s="158">
        <f>(Assumptions!F44+Assumptions!F59)*-1</f>
        <v>-236.31508934085034</v>
      </c>
      <c r="G24" s="158">
        <f>(Assumptions!G44+Assumptions!G59)*-1</f>
        <v>-254.5226636434582</v>
      </c>
      <c r="H24" s="158">
        <f>(Assumptions!H44+Assumptions!H59)*-1</f>
        <v>-278.34894691969811</v>
      </c>
      <c r="I24" s="158">
        <f>(Assumptions!I44+Assumptions!I59)*-1</f>
        <v>-299.15393819081424</v>
      </c>
      <c r="J24" s="158">
        <f>(Assumptions!J44+Assumptions!J59)*-1</f>
        <v>-324.00670008834675</v>
      </c>
      <c r="K24" s="158">
        <f>(Assumptions!K44+Assumptions!K59)*-1</f>
        <v>-351.54262524391225</v>
      </c>
      <c r="L24" s="158">
        <f>(Assumptions!L44+Assumptions!L59)*-1</f>
        <v>-380.38169755964668</v>
      </c>
      <c r="M24" s="138"/>
    </row>
    <row r="25" spans="1:13" x14ac:dyDescent="0.3">
      <c r="A25" s="167" t="s">
        <v>18</v>
      </c>
      <c r="B25" s="154">
        <f>B23+B24</f>
        <v>1573.12</v>
      </c>
      <c r="C25" s="154">
        <f t="shared" ref="C25:D25" si="8">C23+C24</f>
        <v>1657.7200000000007</v>
      </c>
      <c r="D25" s="154">
        <f t="shared" si="8"/>
        <v>2312.15</v>
      </c>
      <c r="E25" s="157">
        <f>E23+E24</f>
        <v>2194.2699751125015</v>
      </c>
      <c r="F25" s="157">
        <f t="shared" ref="F25:L25" si="9">F23+F24</f>
        <v>2463.1179526453197</v>
      </c>
      <c r="G25" s="157">
        <f t="shared" si="9"/>
        <v>2767.8802782504149</v>
      </c>
      <c r="H25" s="157">
        <f t="shared" si="9"/>
        <v>2933.1867149327295</v>
      </c>
      <c r="I25" s="157">
        <f t="shared" si="9"/>
        <v>3229.9576883470409</v>
      </c>
      <c r="J25" s="157">
        <f t="shared" si="9"/>
        <v>3534.8121839819892</v>
      </c>
      <c r="K25" s="157">
        <f t="shared" si="9"/>
        <v>3834.4846826758799</v>
      </c>
      <c r="L25" s="157">
        <f t="shared" si="9"/>
        <v>4192.1964299070978</v>
      </c>
      <c r="M25" s="138"/>
    </row>
    <row r="26" spans="1:13" x14ac:dyDescent="0.3">
      <c r="A26" s="148" t="s">
        <v>244</v>
      </c>
      <c r="B26" s="244">
        <v>-9.09</v>
      </c>
      <c r="C26" s="244">
        <v>-76.900000000000006</v>
      </c>
      <c r="D26" s="244">
        <v>-110.9</v>
      </c>
      <c r="E26" s="158">
        <f>Assumptions!E17*('Balance Sheet'!E45+'Balance Sheet'!E38) *-1</f>
        <v>-118.1234511598866</v>
      </c>
      <c r="F26" s="158">
        <f>Assumptions!F17*('Balance Sheet'!F45+'Balance Sheet'!F38) *-1</f>
        <v>-111.67758203243537</v>
      </c>
      <c r="G26" s="158">
        <f>Assumptions!G17*('Balance Sheet'!G45+'Balance Sheet'!G38) *-1</f>
        <v>-113.56701106410733</v>
      </c>
      <c r="H26" s="158">
        <f>Assumptions!H17*('Balance Sheet'!H45+'Balance Sheet'!H38) *-1</f>
        <v>-114.4560147521431</v>
      </c>
      <c r="I26" s="158">
        <f>Assumptions!I17*('Balance Sheet'!I45+'Balance Sheet'!I38) *-1</f>
        <v>-113.23353594956194</v>
      </c>
      <c r="J26" s="158">
        <f>Assumptions!J17*('Balance Sheet'!J45+'Balance Sheet'!J38) *-1</f>
        <v>-113.75218725527078</v>
      </c>
      <c r="K26" s="158">
        <f>Assumptions!K17*('Balance Sheet'!K45+'Balance Sheet'!K38) *-1</f>
        <v>-113.81391265232527</v>
      </c>
      <c r="L26" s="158">
        <f>Assumptions!L17*('Balance Sheet'!L45+'Balance Sheet'!L38) *-1</f>
        <v>-113.59987861905267</v>
      </c>
      <c r="M26" s="138"/>
    </row>
    <row r="27" spans="1:13" s="324" customFormat="1" x14ac:dyDescent="0.3">
      <c r="A27" s="148" t="s">
        <v>76</v>
      </c>
      <c r="B27" s="244">
        <v>206.45</v>
      </c>
      <c r="C27" s="244">
        <v>279.39999999999998</v>
      </c>
      <c r="D27" s="244">
        <v>313</v>
      </c>
      <c r="E27" s="153">
        <f>D27</f>
        <v>313</v>
      </c>
      <c r="F27" s="153">
        <f t="shared" ref="F27:L27" si="10">E27</f>
        <v>313</v>
      </c>
      <c r="G27" s="153">
        <f t="shared" si="10"/>
        <v>313</v>
      </c>
      <c r="H27" s="153">
        <f t="shared" si="10"/>
        <v>313</v>
      </c>
      <c r="I27" s="153">
        <f t="shared" si="10"/>
        <v>313</v>
      </c>
      <c r="J27" s="153">
        <f t="shared" si="10"/>
        <v>313</v>
      </c>
      <c r="K27" s="153">
        <f t="shared" si="10"/>
        <v>313</v>
      </c>
      <c r="L27" s="153">
        <f t="shared" si="10"/>
        <v>313</v>
      </c>
      <c r="M27" s="138"/>
    </row>
    <row r="28" spans="1:13" x14ac:dyDescent="0.3">
      <c r="A28" s="167" t="s">
        <v>245</v>
      </c>
      <c r="B28" s="154">
        <f>B25+B26+B27</f>
        <v>1770.48</v>
      </c>
      <c r="C28" s="154">
        <f t="shared" ref="C28:D28" si="11">C25+C26+C27</f>
        <v>1860.2200000000007</v>
      </c>
      <c r="D28" s="154">
        <f t="shared" si="11"/>
        <v>2514.25</v>
      </c>
      <c r="E28" s="157">
        <f>E25+E26+E27</f>
        <v>2389.1465239526151</v>
      </c>
      <c r="F28" s="157">
        <f t="shared" ref="F28:L28" si="12">F25+F26+F27</f>
        <v>2664.4403706128842</v>
      </c>
      <c r="G28" s="157">
        <f t="shared" si="12"/>
        <v>2967.3132671863077</v>
      </c>
      <c r="H28" s="157">
        <f t="shared" si="12"/>
        <v>3131.7307001805866</v>
      </c>
      <c r="I28" s="157">
        <f t="shared" si="12"/>
        <v>3429.724152397479</v>
      </c>
      <c r="J28" s="157">
        <f t="shared" si="12"/>
        <v>3734.0599967267185</v>
      </c>
      <c r="K28" s="157">
        <f t="shared" si="12"/>
        <v>4033.6707700235547</v>
      </c>
      <c r="L28" s="157">
        <f t="shared" si="12"/>
        <v>4391.5965512880448</v>
      </c>
      <c r="M28" s="138"/>
    </row>
    <row r="29" spans="1:13" s="136" customFormat="1" x14ac:dyDescent="0.3">
      <c r="A29" s="148" t="s">
        <v>285</v>
      </c>
      <c r="B29" s="244">
        <v>0</v>
      </c>
      <c r="C29" s="244">
        <v>-17.010000000000002</v>
      </c>
      <c r="D29" s="244">
        <v>-0.61</v>
      </c>
      <c r="E29" s="158">
        <v>0</v>
      </c>
      <c r="F29" s="158">
        <v>0</v>
      </c>
      <c r="G29" s="158">
        <v>0</v>
      </c>
      <c r="H29" s="158">
        <v>0</v>
      </c>
      <c r="I29" s="158">
        <v>0</v>
      </c>
      <c r="J29" s="158">
        <v>0</v>
      </c>
      <c r="K29" s="158">
        <v>0</v>
      </c>
      <c r="L29" s="158">
        <v>0</v>
      </c>
      <c r="M29" s="138"/>
    </row>
    <row r="30" spans="1:13" s="103" customFormat="1" x14ac:dyDescent="0.3">
      <c r="A30" s="148" t="s">
        <v>250</v>
      </c>
      <c r="B30" s="244">
        <v>-0.97</v>
      </c>
      <c r="C30" s="244">
        <v>0.44</v>
      </c>
      <c r="D30" s="244">
        <v>0.81</v>
      </c>
      <c r="E30" s="158">
        <v>1</v>
      </c>
      <c r="F30" s="158">
        <v>1</v>
      </c>
      <c r="G30" s="158">
        <v>1</v>
      </c>
      <c r="H30" s="158">
        <v>1</v>
      </c>
      <c r="I30" s="158">
        <v>1</v>
      </c>
      <c r="J30" s="158">
        <v>1</v>
      </c>
      <c r="K30" s="158">
        <v>1</v>
      </c>
      <c r="L30" s="158">
        <v>1</v>
      </c>
      <c r="M30" s="138"/>
    </row>
    <row r="31" spans="1:13" x14ac:dyDescent="0.3">
      <c r="A31" s="167" t="s">
        <v>246</v>
      </c>
      <c r="B31" s="154">
        <f>B28+B29+B30</f>
        <v>1769.51</v>
      </c>
      <c r="C31" s="154">
        <f t="shared" ref="C31:D31" si="13">C28+C29+C30</f>
        <v>1843.6500000000008</v>
      </c>
      <c r="D31" s="154">
        <f t="shared" si="13"/>
        <v>2514.4499999999998</v>
      </c>
      <c r="E31" s="157">
        <f>E28+E29+E30</f>
        <v>2390.1465239526151</v>
      </c>
      <c r="F31" s="157">
        <f t="shared" ref="F31:L31" si="14">F28+F29+F30</f>
        <v>2665.4403706128842</v>
      </c>
      <c r="G31" s="157">
        <f t="shared" si="14"/>
        <v>2968.3132671863077</v>
      </c>
      <c r="H31" s="157">
        <f t="shared" si="14"/>
        <v>3132.7307001805866</v>
      </c>
      <c r="I31" s="157">
        <f t="shared" si="14"/>
        <v>3430.724152397479</v>
      </c>
      <c r="J31" s="157">
        <f t="shared" si="14"/>
        <v>3735.0599967267185</v>
      </c>
      <c r="K31" s="157">
        <f t="shared" si="14"/>
        <v>4034.6707700235547</v>
      </c>
      <c r="L31" s="157">
        <f t="shared" si="14"/>
        <v>4392.5965512880448</v>
      </c>
      <c r="M31" s="138"/>
    </row>
    <row r="32" spans="1:13" x14ac:dyDescent="0.3">
      <c r="A32" s="148" t="s">
        <v>247</v>
      </c>
      <c r="B32" s="152">
        <v>-599.78</v>
      </c>
      <c r="C32" s="244">
        <v>-447.69</v>
      </c>
      <c r="D32" s="244">
        <v>-657.12</v>
      </c>
      <c r="E32" s="158">
        <f>E31*Assumptions!E14</f>
        <v>-607.27005279876801</v>
      </c>
      <c r="F32" s="158">
        <f>F31*Assumptions!F14</f>
        <v>-677.2145968345427</v>
      </c>
      <c r="G32" s="158">
        <f>G31*Assumptions!G14</f>
        <v>-763.67628907315986</v>
      </c>
      <c r="H32" s="158">
        <f>H31*Assumptions!H14</f>
        <v>-799.2857466360706</v>
      </c>
      <c r="I32" s="158">
        <f>I31*Assumptions!I14</f>
        <v>-876.53716190679768</v>
      </c>
      <c r="J32" s="158">
        <f>J31*Assumptions!J14</f>
        <v>-956.06666324587741</v>
      </c>
      <c r="K32" s="158">
        <f>K31*Assumptions!K14</f>
        <v>-1031.0028459227469</v>
      </c>
      <c r="L32" s="158">
        <f>L31*Assumptions!L14</f>
        <v>-1123.0448464179524</v>
      </c>
      <c r="M32" s="138"/>
    </row>
    <row r="33" spans="1:13" x14ac:dyDescent="0.3">
      <c r="A33" s="148" t="s">
        <v>248</v>
      </c>
      <c r="B33" s="152">
        <v>-12.69</v>
      </c>
      <c r="C33" s="244">
        <v>-3.01</v>
      </c>
      <c r="D33" s="244">
        <v>-5.9</v>
      </c>
      <c r="E33" s="158">
        <v>0</v>
      </c>
      <c r="F33" s="158">
        <v>0</v>
      </c>
      <c r="G33" s="158">
        <v>0</v>
      </c>
      <c r="H33" s="158">
        <v>0</v>
      </c>
      <c r="I33" s="158">
        <v>0</v>
      </c>
      <c r="J33" s="158">
        <v>0</v>
      </c>
      <c r="K33" s="158">
        <v>0</v>
      </c>
      <c r="L33" s="158">
        <v>0</v>
      </c>
      <c r="M33" s="138"/>
    </row>
    <row r="34" spans="1:13" x14ac:dyDescent="0.3">
      <c r="A34" s="148" t="s">
        <v>284</v>
      </c>
      <c r="B34" s="152">
        <v>0</v>
      </c>
      <c r="C34" s="244">
        <v>0</v>
      </c>
      <c r="D34" s="244">
        <v>0</v>
      </c>
      <c r="E34" s="158">
        <v>0</v>
      </c>
      <c r="F34" s="158">
        <v>0</v>
      </c>
      <c r="G34" s="158">
        <v>0</v>
      </c>
      <c r="H34" s="158">
        <v>0</v>
      </c>
      <c r="I34" s="158">
        <v>0</v>
      </c>
      <c r="J34" s="158">
        <v>0</v>
      </c>
      <c r="K34" s="158">
        <v>0</v>
      </c>
      <c r="L34" s="158">
        <v>0</v>
      </c>
      <c r="M34" s="138"/>
    </row>
    <row r="35" spans="1:13" x14ac:dyDescent="0.3">
      <c r="A35" s="167" t="s">
        <v>249</v>
      </c>
      <c r="B35" s="154">
        <f>SUM(B31:B34)</f>
        <v>1157.04</v>
      </c>
      <c r="C35" s="154">
        <f t="shared" ref="C35:D35" si="15">SUM(C31:C34)</f>
        <v>1392.9500000000007</v>
      </c>
      <c r="D35" s="154">
        <f t="shared" si="15"/>
        <v>1851.4299999999998</v>
      </c>
      <c r="E35" s="157">
        <f>E31+E32</f>
        <v>1782.876471153847</v>
      </c>
      <c r="F35" s="157">
        <f t="shared" ref="F35:L35" si="16">F31+F32</f>
        <v>1988.2257737783416</v>
      </c>
      <c r="G35" s="157">
        <f t="shared" si="16"/>
        <v>2204.636978113148</v>
      </c>
      <c r="H35" s="157">
        <f t="shared" si="16"/>
        <v>2333.444953544516</v>
      </c>
      <c r="I35" s="157">
        <f t="shared" si="16"/>
        <v>2554.1869904906812</v>
      </c>
      <c r="J35" s="157">
        <f t="shared" si="16"/>
        <v>2778.9933334808411</v>
      </c>
      <c r="K35" s="157">
        <f t="shared" si="16"/>
        <v>3003.6679241008078</v>
      </c>
      <c r="L35" s="157">
        <f t="shared" si="16"/>
        <v>3269.5517048700922</v>
      </c>
      <c r="M35" s="138"/>
    </row>
    <row r="36" spans="1:13" x14ac:dyDescent="0.3">
      <c r="A36" s="168" t="s">
        <v>251</v>
      </c>
      <c r="B36" s="160"/>
      <c r="C36" s="160"/>
      <c r="D36" s="160"/>
      <c r="E36" s="160"/>
      <c r="F36" s="160"/>
      <c r="G36" s="160"/>
      <c r="H36" s="160"/>
      <c r="I36" s="160"/>
      <c r="J36" s="161"/>
      <c r="K36" s="161"/>
      <c r="L36" s="161"/>
      <c r="M36" s="130"/>
    </row>
    <row r="37" spans="1:13" x14ac:dyDescent="0.3">
      <c r="A37" s="148" t="s">
        <v>286</v>
      </c>
      <c r="B37" s="152">
        <v>-4.09</v>
      </c>
      <c r="C37" s="244">
        <v>-6.5</v>
      </c>
      <c r="D37" s="244">
        <v>3.5</v>
      </c>
      <c r="E37" s="158">
        <v>0</v>
      </c>
      <c r="F37" s="158">
        <v>0</v>
      </c>
      <c r="G37" s="158">
        <v>0</v>
      </c>
      <c r="H37" s="158">
        <v>0</v>
      </c>
      <c r="I37" s="158">
        <v>0</v>
      </c>
      <c r="J37" s="158">
        <v>0</v>
      </c>
      <c r="K37" s="158">
        <v>0</v>
      </c>
      <c r="L37" s="158">
        <v>0</v>
      </c>
      <c r="M37" s="130"/>
    </row>
    <row r="38" spans="1:13" x14ac:dyDescent="0.3">
      <c r="A38" s="148" t="s">
        <v>287</v>
      </c>
      <c r="B38" s="152">
        <v>1.43</v>
      </c>
      <c r="C38" s="244">
        <v>1.57</v>
      </c>
      <c r="D38" s="244">
        <v>-0.92</v>
      </c>
      <c r="E38" s="158">
        <v>0</v>
      </c>
      <c r="F38" s="158">
        <v>0</v>
      </c>
      <c r="G38" s="158">
        <v>0</v>
      </c>
      <c r="H38" s="158">
        <v>0</v>
      </c>
      <c r="I38" s="158">
        <v>0</v>
      </c>
      <c r="J38" s="158">
        <v>0</v>
      </c>
      <c r="K38" s="158">
        <v>0</v>
      </c>
      <c r="L38" s="158">
        <v>0</v>
      </c>
      <c r="M38" s="130"/>
    </row>
    <row r="39" spans="1:13" x14ac:dyDescent="0.3">
      <c r="A39" s="169" t="s">
        <v>316</v>
      </c>
      <c r="B39" s="152">
        <v>6.5</v>
      </c>
      <c r="C39" s="244">
        <v>10.050000000000001</v>
      </c>
      <c r="D39" s="244">
        <v>-4.08</v>
      </c>
      <c r="E39" s="158">
        <v>0</v>
      </c>
      <c r="F39" s="158">
        <v>0</v>
      </c>
      <c r="G39" s="158">
        <v>0</v>
      </c>
      <c r="H39" s="158">
        <v>0</v>
      </c>
      <c r="I39" s="158">
        <v>0</v>
      </c>
      <c r="J39" s="158">
        <v>0</v>
      </c>
      <c r="K39" s="158">
        <v>0</v>
      </c>
      <c r="L39" s="158">
        <v>0</v>
      </c>
      <c r="M39" s="130"/>
    </row>
    <row r="40" spans="1:13" x14ac:dyDescent="0.3">
      <c r="A40" s="169" t="s">
        <v>252</v>
      </c>
      <c r="B40" s="152">
        <v>0</v>
      </c>
      <c r="C40" s="152">
        <v>0</v>
      </c>
      <c r="D40" s="152">
        <v>0</v>
      </c>
      <c r="E40" s="158">
        <v>0</v>
      </c>
      <c r="F40" s="158">
        <v>0</v>
      </c>
      <c r="G40" s="158">
        <v>0</v>
      </c>
      <c r="H40" s="158">
        <v>0</v>
      </c>
      <c r="I40" s="158">
        <v>0</v>
      </c>
      <c r="J40" s="158">
        <v>0</v>
      </c>
      <c r="K40" s="158">
        <v>0</v>
      </c>
      <c r="L40" s="158">
        <v>0</v>
      </c>
      <c r="M40" s="130"/>
    </row>
    <row r="41" spans="1:13" x14ac:dyDescent="0.3">
      <c r="A41" s="168" t="s">
        <v>350</v>
      </c>
      <c r="B41" s="154">
        <f>SUM(B37:B40)+B35</f>
        <v>1160.8799999999999</v>
      </c>
      <c r="C41" s="154">
        <f t="shared" ref="C41:L41" si="17">SUM(C37:C40)+C35</f>
        <v>1398.0700000000006</v>
      </c>
      <c r="D41" s="154">
        <f t="shared" si="17"/>
        <v>1849.9299999999998</v>
      </c>
      <c r="E41" s="157">
        <f t="shared" si="17"/>
        <v>1782.876471153847</v>
      </c>
      <c r="F41" s="157">
        <f t="shared" si="17"/>
        <v>1988.2257737783416</v>
      </c>
      <c r="G41" s="157">
        <f t="shared" si="17"/>
        <v>2204.636978113148</v>
      </c>
      <c r="H41" s="157">
        <f t="shared" si="17"/>
        <v>2333.444953544516</v>
      </c>
      <c r="I41" s="157">
        <f t="shared" si="17"/>
        <v>2554.1869904906812</v>
      </c>
      <c r="J41" s="157">
        <f t="shared" si="17"/>
        <v>2778.9933334808411</v>
      </c>
      <c r="K41" s="157">
        <f t="shared" si="17"/>
        <v>3003.6679241008078</v>
      </c>
      <c r="L41" s="157">
        <f t="shared" si="17"/>
        <v>3269.5517048700922</v>
      </c>
      <c r="M41" s="130"/>
    </row>
    <row r="42" spans="1:13" x14ac:dyDescent="0.3">
      <c r="A42" s="169" t="s">
        <v>253</v>
      </c>
      <c r="B42" s="152">
        <v>3.66</v>
      </c>
      <c r="C42" s="152">
        <v>9.0299999999999994</v>
      </c>
      <c r="D42" s="152">
        <v>13.31</v>
      </c>
      <c r="E42" s="158">
        <f>D42</f>
        <v>13.31</v>
      </c>
      <c r="F42" s="158">
        <f t="shared" ref="F42:L42" si="18">E42</f>
        <v>13.31</v>
      </c>
      <c r="G42" s="158">
        <f t="shared" si="18"/>
        <v>13.31</v>
      </c>
      <c r="H42" s="158">
        <f t="shared" si="18"/>
        <v>13.31</v>
      </c>
      <c r="I42" s="158">
        <f t="shared" si="18"/>
        <v>13.31</v>
      </c>
      <c r="J42" s="158">
        <f t="shared" si="18"/>
        <v>13.31</v>
      </c>
      <c r="K42" s="158">
        <f t="shared" si="18"/>
        <v>13.31</v>
      </c>
      <c r="L42" s="158">
        <f t="shared" si="18"/>
        <v>13.31</v>
      </c>
      <c r="M42" s="130"/>
    </row>
    <row r="43" spans="1:13" x14ac:dyDescent="0.3">
      <c r="A43" s="163"/>
      <c r="B43" s="164"/>
      <c r="C43" s="164"/>
      <c r="D43" s="164"/>
      <c r="E43" s="164"/>
      <c r="F43" s="164"/>
      <c r="G43" s="164"/>
      <c r="H43" s="164"/>
      <c r="I43" s="164"/>
      <c r="J43" s="163"/>
      <c r="K43" s="163"/>
      <c r="L43" s="163"/>
      <c r="M43" s="130"/>
    </row>
    <row r="44" spans="1:13" x14ac:dyDescent="0.3">
      <c r="A44" s="159" t="s">
        <v>254</v>
      </c>
      <c r="B44" s="164"/>
      <c r="C44" s="164"/>
      <c r="D44" s="164"/>
      <c r="E44" s="164"/>
      <c r="F44" s="164"/>
      <c r="G44" s="164"/>
      <c r="H44" s="164"/>
      <c r="I44" s="164"/>
      <c r="J44" s="163"/>
      <c r="K44" s="163"/>
      <c r="L44" s="163"/>
      <c r="M44" s="130"/>
    </row>
    <row r="45" spans="1:13" x14ac:dyDescent="0.3">
      <c r="A45" s="162" t="s">
        <v>5</v>
      </c>
      <c r="B45" s="152">
        <v>24.02</v>
      </c>
      <c r="C45" s="152">
        <v>24.03</v>
      </c>
      <c r="D45" s="244">
        <v>24.07</v>
      </c>
      <c r="E45" s="158">
        <f>D45</f>
        <v>24.07</v>
      </c>
      <c r="F45" s="158">
        <f t="shared" ref="F45:L45" si="19">E45</f>
        <v>24.07</v>
      </c>
      <c r="G45" s="158">
        <f t="shared" si="19"/>
        <v>24.07</v>
      </c>
      <c r="H45" s="158">
        <f t="shared" si="19"/>
        <v>24.07</v>
      </c>
      <c r="I45" s="158">
        <f t="shared" si="19"/>
        <v>24.07</v>
      </c>
      <c r="J45" s="158">
        <f t="shared" si="19"/>
        <v>24.07</v>
      </c>
      <c r="K45" s="158">
        <f t="shared" si="19"/>
        <v>24.07</v>
      </c>
      <c r="L45" s="158">
        <f t="shared" si="19"/>
        <v>24.07</v>
      </c>
      <c r="M45" s="130"/>
    </row>
    <row r="46" spans="1:13" x14ac:dyDescent="0.3">
      <c r="A46" s="162" t="s">
        <v>6</v>
      </c>
      <c r="B46" s="152">
        <v>24.04</v>
      </c>
      <c r="C46" s="152">
        <v>24.04</v>
      </c>
      <c r="D46" s="244">
        <v>24.08</v>
      </c>
      <c r="E46" s="158">
        <f>D46</f>
        <v>24.08</v>
      </c>
      <c r="F46" s="158">
        <f t="shared" ref="F46:L46" si="20">E46</f>
        <v>24.08</v>
      </c>
      <c r="G46" s="158">
        <f t="shared" si="20"/>
        <v>24.08</v>
      </c>
      <c r="H46" s="158">
        <f t="shared" si="20"/>
        <v>24.08</v>
      </c>
      <c r="I46" s="158">
        <f t="shared" si="20"/>
        <v>24.08</v>
      </c>
      <c r="J46" s="158">
        <f t="shared" si="20"/>
        <v>24.08</v>
      </c>
      <c r="K46" s="158">
        <f t="shared" si="20"/>
        <v>24.08</v>
      </c>
      <c r="L46" s="158">
        <f t="shared" si="20"/>
        <v>24.08</v>
      </c>
      <c r="M46" s="130"/>
    </row>
    <row r="47" spans="1:13" x14ac:dyDescent="0.3">
      <c r="A47" s="163"/>
      <c r="B47" s="164"/>
      <c r="C47" s="164"/>
      <c r="D47" s="164"/>
      <c r="E47" s="164"/>
      <c r="F47" s="164"/>
      <c r="G47" s="164"/>
      <c r="H47" s="164"/>
      <c r="I47" s="164"/>
      <c r="J47" s="163"/>
      <c r="K47" s="163"/>
      <c r="L47" s="163"/>
      <c r="M47" s="130"/>
    </row>
    <row r="48" spans="1:13" x14ac:dyDescent="0.3">
      <c r="A48" s="165" t="s">
        <v>255</v>
      </c>
      <c r="B48" s="164"/>
      <c r="C48" s="164"/>
      <c r="D48" s="164"/>
      <c r="E48" s="164"/>
      <c r="F48" s="164"/>
      <c r="G48" s="164"/>
      <c r="H48" s="164"/>
      <c r="I48" s="164"/>
      <c r="J48" s="163"/>
      <c r="K48" s="163"/>
      <c r="L48" s="163"/>
      <c r="M48" s="130"/>
    </row>
    <row r="49" spans="1:13" x14ac:dyDescent="0.3">
      <c r="A49" s="163" t="s">
        <v>5</v>
      </c>
      <c r="B49" s="154">
        <f>B41/B45</f>
        <v>48.329725228975846</v>
      </c>
      <c r="C49" s="154">
        <f t="shared" ref="C49:D49" si="21">C41/C45</f>
        <v>58.180191427382461</v>
      </c>
      <c r="D49" s="154">
        <f t="shared" si="21"/>
        <v>76.856252596593265</v>
      </c>
      <c r="E49" s="157">
        <f t="shared" ref="E49:L49" si="22">E41/E45</f>
        <v>74.070480729283219</v>
      </c>
      <c r="F49" s="157">
        <f t="shared" si="22"/>
        <v>82.601818603171651</v>
      </c>
      <c r="G49" s="157">
        <f t="shared" si="22"/>
        <v>91.592728629544993</v>
      </c>
      <c r="H49" s="157">
        <f t="shared" si="22"/>
        <v>96.944119382821597</v>
      </c>
      <c r="I49" s="157">
        <f t="shared" si="22"/>
        <v>106.11495598216374</v>
      </c>
      <c r="J49" s="157">
        <f t="shared" si="22"/>
        <v>115.45464617701874</v>
      </c>
      <c r="K49" s="157">
        <f t="shared" si="22"/>
        <v>124.78886265479052</v>
      </c>
      <c r="L49" s="157">
        <f t="shared" si="22"/>
        <v>135.83513522518041</v>
      </c>
      <c r="M49" s="130"/>
    </row>
    <row r="50" spans="1:13" x14ac:dyDescent="0.3">
      <c r="A50" s="163" t="s">
        <v>6</v>
      </c>
      <c r="B50" s="154">
        <f>B41/B46</f>
        <v>48.289517470881862</v>
      </c>
      <c r="C50" s="154">
        <f t="shared" ref="C50:D50" si="23">C41/C46</f>
        <v>58.15599001663896</v>
      </c>
      <c r="D50" s="154">
        <f t="shared" si="23"/>
        <v>76.824335548172755</v>
      </c>
      <c r="E50" s="157">
        <f t="shared" ref="E50:L50" si="24">E41/E46</f>
        <v>74.039720562867402</v>
      </c>
      <c r="F50" s="157">
        <f t="shared" si="24"/>
        <v>82.567515522356388</v>
      </c>
      <c r="G50" s="157">
        <f t="shared" si="24"/>
        <v>91.554691782107483</v>
      </c>
      <c r="H50" s="157">
        <f t="shared" si="24"/>
        <v>96.903860197031406</v>
      </c>
      <c r="I50" s="157">
        <f t="shared" si="24"/>
        <v>106.07088830941368</v>
      </c>
      <c r="J50" s="157">
        <f t="shared" si="24"/>
        <v>115.40669989538378</v>
      </c>
      <c r="K50" s="157">
        <f t="shared" si="24"/>
        <v>124.73704003740897</v>
      </c>
      <c r="L50" s="157">
        <f t="shared" si="24"/>
        <v>135.77872528530284</v>
      </c>
      <c r="M50" s="130"/>
    </row>
    <row r="51" spans="1:13" s="172" customFormat="1" ht="15" x14ac:dyDescent="0.25">
      <c r="A51" s="355" t="s">
        <v>361</v>
      </c>
      <c r="B51" s="225">
        <v>-354.38</v>
      </c>
      <c r="C51" s="225">
        <v>-432.53</v>
      </c>
      <c r="D51" s="225">
        <v>-2823.75</v>
      </c>
      <c r="E51" s="355">
        <f>E41*Assumptions!E28</f>
        <v>-552.69170605769261</v>
      </c>
      <c r="F51" s="355">
        <f>F41*Assumptions!F28</f>
        <v>-616.34998987128586</v>
      </c>
      <c r="G51" s="355">
        <f>G41*Assumptions!G28</f>
        <v>-683.43746321507581</v>
      </c>
      <c r="H51" s="355">
        <f>H41*Assumptions!H28</f>
        <v>-723.36793559879993</v>
      </c>
      <c r="I51" s="355">
        <f>I41*Assumptions!I28</f>
        <v>-791.79796705211118</v>
      </c>
      <c r="J51" s="355">
        <f>J41*Assumptions!J28</f>
        <v>-861.48793337906079</v>
      </c>
      <c r="K51" s="355">
        <f>K41*Assumptions!K28</f>
        <v>-931.13705647125039</v>
      </c>
      <c r="L51" s="355">
        <f>L41*Assumptions!L28</f>
        <v>-1013.5610285097285</v>
      </c>
    </row>
    <row r="52" spans="1:13" s="172" customFormat="1" ht="15" x14ac:dyDescent="0.25">
      <c r="A52" s="355"/>
      <c r="B52" s="356"/>
      <c r="C52" s="356"/>
      <c r="D52" s="356"/>
    </row>
    <row r="53" spans="1:13" s="172" customFormat="1" ht="25.2" customHeight="1" x14ac:dyDescent="0.3">
      <c r="A53" s="133" t="s">
        <v>158</v>
      </c>
    </row>
    <row r="54" spans="1:13" x14ac:dyDescent="0.3">
      <c r="A54" s="149"/>
      <c r="B54" s="150"/>
      <c r="C54" s="150"/>
      <c r="D54" s="150"/>
      <c r="E54" s="150"/>
      <c r="F54" s="150"/>
      <c r="G54" s="150"/>
      <c r="H54" s="150"/>
      <c r="I54" s="150"/>
      <c r="J54" s="149"/>
      <c r="K54" s="149"/>
      <c r="L54" s="149"/>
      <c r="M54" s="130"/>
    </row>
    <row r="55" spans="1:13" x14ac:dyDescent="0.3">
      <c r="A55" s="175" t="str">
        <f t="shared" ref="A55:L55" si="25">A6</f>
        <v>Particulars</v>
      </c>
      <c r="B55" s="173" t="str">
        <f t="shared" si="25"/>
        <v>FY2019 A</v>
      </c>
      <c r="C55" s="173" t="str">
        <f t="shared" si="25"/>
        <v>FY2020 A</v>
      </c>
      <c r="D55" s="173" t="str">
        <f t="shared" si="25"/>
        <v>FY2021 A</v>
      </c>
      <c r="E55" s="173" t="str">
        <f t="shared" si="25"/>
        <v>FY2022 E</v>
      </c>
      <c r="F55" s="173" t="str">
        <f t="shared" si="25"/>
        <v>FY2023 E</v>
      </c>
      <c r="G55" s="173" t="str">
        <f t="shared" si="25"/>
        <v>FY2024 E</v>
      </c>
      <c r="H55" s="173" t="str">
        <f t="shared" si="25"/>
        <v>FY2025 E</v>
      </c>
      <c r="I55" s="173" t="str">
        <f t="shared" si="25"/>
        <v>FY2026 E</v>
      </c>
      <c r="J55" s="173" t="str">
        <f t="shared" si="25"/>
        <v>FY2027 E</v>
      </c>
      <c r="K55" s="173" t="str">
        <f t="shared" si="25"/>
        <v>FY2028 E</v>
      </c>
      <c r="L55" s="173" t="str">
        <f t="shared" si="25"/>
        <v>FY2029 E</v>
      </c>
      <c r="M55" s="130"/>
    </row>
    <row r="56" spans="1:13" x14ac:dyDescent="0.3">
      <c r="A56" s="176" t="str">
        <f t="shared" ref="A56:A75" si="26">A7</f>
        <v>Revenue from Operation</v>
      </c>
      <c r="B56" s="174">
        <f t="shared" ref="B56:L56" si="27">B7/B$7</f>
        <v>1</v>
      </c>
      <c r="C56" s="174">
        <f t="shared" si="27"/>
        <v>1</v>
      </c>
      <c r="D56" s="174">
        <f t="shared" si="27"/>
        <v>1</v>
      </c>
      <c r="E56" s="174">
        <f t="shared" si="27"/>
        <v>1</v>
      </c>
      <c r="F56" s="174">
        <f t="shared" si="27"/>
        <v>1</v>
      </c>
      <c r="G56" s="174">
        <f t="shared" si="27"/>
        <v>1</v>
      </c>
      <c r="H56" s="174">
        <f t="shared" si="27"/>
        <v>1</v>
      </c>
      <c r="I56" s="174">
        <f t="shared" si="27"/>
        <v>1</v>
      </c>
      <c r="J56" s="174">
        <f t="shared" si="27"/>
        <v>1</v>
      </c>
      <c r="K56" s="174">
        <f t="shared" si="27"/>
        <v>1</v>
      </c>
      <c r="L56" s="174">
        <f t="shared" si="27"/>
        <v>1</v>
      </c>
      <c r="M56" s="170"/>
    </row>
    <row r="57" spans="1:13" x14ac:dyDescent="0.3">
      <c r="A57" s="177" t="str">
        <f t="shared" si="26"/>
        <v>Total Income</v>
      </c>
      <c r="B57" s="174">
        <f t="shared" ref="B57:L57" si="28">B8/B$7</f>
        <v>1</v>
      </c>
      <c r="C57" s="174">
        <f t="shared" si="28"/>
        <v>1</v>
      </c>
      <c r="D57" s="174">
        <f t="shared" si="28"/>
        <v>1</v>
      </c>
      <c r="E57" s="174">
        <f t="shared" si="28"/>
        <v>1</v>
      </c>
      <c r="F57" s="174">
        <f t="shared" si="28"/>
        <v>1</v>
      </c>
      <c r="G57" s="174">
        <f t="shared" si="28"/>
        <v>1</v>
      </c>
      <c r="H57" s="174">
        <f t="shared" si="28"/>
        <v>1</v>
      </c>
      <c r="I57" s="174">
        <f t="shared" si="28"/>
        <v>1</v>
      </c>
      <c r="J57" s="174">
        <f t="shared" si="28"/>
        <v>1</v>
      </c>
      <c r="K57" s="174">
        <f t="shared" si="28"/>
        <v>1</v>
      </c>
      <c r="L57" s="174">
        <f t="shared" si="28"/>
        <v>1</v>
      </c>
      <c r="M57" s="170"/>
    </row>
    <row r="58" spans="1:13" x14ac:dyDescent="0.3">
      <c r="A58" s="176" t="str">
        <f t="shared" si="26"/>
        <v>Cost of materials consumed</v>
      </c>
      <c r="B58" s="174">
        <f t="shared" ref="B58:L58" si="29">B9/B$7</f>
        <v>-0.49873349013931606</v>
      </c>
      <c r="C58" s="174">
        <f t="shared" si="29"/>
        <v>-0.50876454866798859</v>
      </c>
      <c r="D58" s="174">
        <f t="shared" si="29"/>
        <v>-0.4949756394640682</v>
      </c>
      <c r="E58" s="174">
        <f t="shared" si="29"/>
        <v>-0.59044333270524174</v>
      </c>
      <c r="F58" s="174">
        <f t="shared" si="29"/>
        <v>-0.58941084370348495</v>
      </c>
      <c r="G58" s="174">
        <f t="shared" si="29"/>
        <v>-0.58679873277773631</v>
      </c>
      <c r="H58" s="174">
        <f t="shared" si="29"/>
        <v>-0.58888430306215434</v>
      </c>
      <c r="I58" s="174">
        <f t="shared" si="29"/>
        <v>-0.58836462651445853</v>
      </c>
      <c r="J58" s="174">
        <f t="shared" si="29"/>
        <v>-0.58801588745144973</v>
      </c>
      <c r="K58" s="174">
        <f t="shared" si="29"/>
        <v>-0.58842160567602086</v>
      </c>
      <c r="L58" s="174">
        <f t="shared" si="29"/>
        <v>-0.58826737321397637</v>
      </c>
      <c r="M58" s="170"/>
    </row>
    <row r="59" spans="1:13" x14ac:dyDescent="0.3">
      <c r="A59" s="176" t="str">
        <f t="shared" si="26"/>
        <v>Purchase</v>
      </c>
      <c r="B59" s="174">
        <f t="shared" ref="B59:L59" si="30">B10/B$7</f>
        <v>-9.9782884023882759E-2</v>
      </c>
      <c r="C59" s="174">
        <f t="shared" si="30"/>
        <v>-8.3950340546598848E-2</v>
      </c>
      <c r="D59" s="174">
        <f t="shared" si="30"/>
        <v>-8.8383069427527411E-2</v>
      </c>
      <c r="E59" s="174">
        <f t="shared" si="30"/>
        <v>0</v>
      </c>
      <c r="F59" s="174">
        <f t="shared" si="30"/>
        <v>0</v>
      </c>
      <c r="G59" s="174">
        <f t="shared" si="30"/>
        <v>0</v>
      </c>
      <c r="H59" s="174">
        <f t="shared" si="30"/>
        <v>0</v>
      </c>
      <c r="I59" s="174">
        <f t="shared" si="30"/>
        <v>0</v>
      </c>
      <c r="J59" s="174">
        <f t="shared" si="30"/>
        <v>0</v>
      </c>
      <c r="K59" s="174">
        <f t="shared" si="30"/>
        <v>0</v>
      </c>
      <c r="L59" s="174">
        <f t="shared" si="30"/>
        <v>0</v>
      </c>
      <c r="M59" s="171"/>
    </row>
    <row r="60" spans="1:13" x14ac:dyDescent="0.3">
      <c r="A60" s="176" t="str">
        <f t="shared" si="26"/>
        <v>Excise Duty</v>
      </c>
      <c r="B60" s="174">
        <f t="shared" ref="B60:L60" si="31">B11/B$7</f>
        <v>0</v>
      </c>
      <c r="C60" s="174">
        <f t="shared" si="31"/>
        <v>0</v>
      </c>
      <c r="D60" s="174">
        <f t="shared" si="31"/>
        <v>0</v>
      </c>
      <c r="E60" s="174">
        <f t="shared" si="31"/>
        <v>0</v>
      </c>
      <c r="F60" s="174">
        <f t="shared" si="31"/>
        <v>0</v>
      </c>
      <c r="G60" s="174">
        <f t="shared" si="31"/>
        <v>0</v>
      </c>
      <c r="H60" s="174">
        <f t="shared" si="31"/>
        <v>0</v>
      </c>
      <c r="I60" s="174">
        <f t="shared" si="31"/>
        <v>0</v>
      </c>
      <c r="J60" s="174">
        <f t="shared" si="31"/>
        <v>0</v>
      </c>
      <c r="K60" s="174">
        <f t="shared" si="31"/>
        <v>0</v>
      </c>
      <c r="L60" s="174">
        <f t="shared" si="31"/>
        <v>0</v>
      </c>
      <c r="M60" s="171"/>
    </row>
    <row r="61" spans="1:13" x14ac:dyDescent="0.3">
      <c r="A61" s="176" t="str">
        <f t="shared" si="26"/>
        <v xml:space="preserve">Changes in stock </v>
      </c>
      <c r="B61" s="174">
        <f t="shared" ref="B61:L61" si="32">B12/B$7</f>
        <v>4.9755744526868099E-3</v>
      </c>
      <c r="C61" s="174">
        <f t="shared" si="32"/>
        <v>-4.5322872661436335E-3</v>
      </c>
      <c r="D61" s="174">
        <f t="shared" si="32"/>
        <v>2.8166869671132763E-3</v>
      </c>
      <c r="E61" s="174">
        <f t="shared" si="32"/>
        <v>0</v>
      </c>
      <c r="F61" s="174">
        <f t="shared" si="32"/>
        <v>0</v>
      </c>
      <c r="G61" s="174">
        <f t="shared" si="32"/>
        <v>0</v>
      </c>
      <c r="H61" s="174">
        <f t="shared" si="32"/>
        <v>0</v>
      </c>
      <c r="I61" s="174">
        <f t="shared" si="32"/>
        <v>0</v>
      </c>
      <c r="J61" s="174">
        <f t="shared" si="32"/>
        <v>0</v>
      </c>
      <c r="K61" s="174">
        <f t="shared" si="32"/>
        <v>0</v>
      </c>
      <c r="L61" s="174">
        <f t="shared" si="32"/>
        <v>0</v>
      </c>
      <c r="M61" s="171"/>
    </row>
    <row r="62" spans="1:13" x14ac:dyDescent="0.3">
      <c r="A62" s="177" t="str">
        <f t="shared" si="26"/>
        <v>Cost of Goods Sold</v>
      </c>
      <c r="B62" s="174">
        <f t="shared" ref="B62:L62" si="33">B13/B$7</f>
        <v>-0.59354079971051199</v>
      </c>
      <c r="C62" s="174">
        <f t="shared" si="33"/>
        <v>-0.597247176480731</v>
      </c>
      <c r="D62" s="174">
        <f t="shared" si="33"/>
        <v>-0.58054202192448234</v>
      </c>
      <c r="E62" s="174">
        <f t="shared" si="33"/>
        <v>-0.59044333270524174</v>
      </c>
      <c r="F62" s="174">
        <f t="shared" si="33"/>
        <v>-0.58941084370348495</v>
      </c>
      <c r="G62" s="174">
        <f t="shared" si="33"/>
        <v>-0.58679873277773631</v>
      </c>
      <c r="H62" s="174">
        <f t="shared" si="33"/>
        <v>-0.58888430306215434</v>
      </c>
      <c r="I62" s="174">
        <f t="shared" si="33"/>
        <v>-0.58836462651445853</v>
      </c>
      <c r="J62" s="174">
        <f t="shared" si="33"/>
        <v>-0.58801588745144973</v>
      </c>
      <c r="K62" s="174">
        <f t="shared" si="33"/>
        <v>-0.58842160567602086</v>
      </c>
      <c r="L62" s="174">
        <f t="shared" si="33"/>
        <v>-0.58826737321397637</v>
      </c>
      <c r="M62" s="171"/>
    </row>
    <row r="63" spans="1:13" x14ac:dyDescent="0.3">
      <c r="A63" s="177" t="str">
        <f t="shared" si="26"/>
        <v>Gross Profit</v>
      </c>
      <c r="B63" s="174">
        <f t="shared" ref="B63:L63" si="34">B14/B$7</f>
        <v>0.40645920028948795</v>
      </c>
      <c r="C63" s="174">
        <f t="shared" si="34"/>
        <v>0.40275282351926894</v>
      </c>
      <c r="D63" s="174">
        <f t="shared" si="34"/>
        <v>0.41945797807551766</v>
      </c>
      <c r="E63" s="174">
        <f t="shared" si="34"/>
        <v>0.40955666729475826</v>
      </c>
      <c r="F63" s="174">
        <f t="shared" si="34"/>
        <v>0.4105891562965151</v>
      </c>
      <c r="G63" s="174">
        <f t="shared" si="34"/>
        <v>0.41320126722226369</v>
      </c>
      <c r="H63" s="174">
        <f t="shared" si="34"/>
        <v>0.41111569693784566</v>
      </c>
      <c r="I63" s="174">
        <f t="shared" si="34"/>
        <v>0.41163537348554152</v>
      </c>
      <c r="J63" s="174">
        <f t="shared" si="34"/>
        <v>0.41198411254855027</v>
      </c>
      <c r="K63" s="174">
        <f t="shared" si="34"/>
        <v>0.41157839432397914</v>
      </c>
      <c r="L63" s="174">
        <f t="shared" si="34"/>
        <v>0.41173262678602363</v>
      </c>
      <c r="M63" s="171"/>
    </row>
    <row r="64" spans="1:13" x14ac:dyDescent="0.3">
      <c r="A64" s="176" t="str">
        <f t="shared" si="26"/>
        <v>Employment Benefit Expenses</v>
      </c>
      <c r="B64" s="174">
        <f t="shared" ref="B64:L64" si="35">B15/B$7</f>
        <v>3.9895060611543333E-2</v>
      </c>
      <c r="C64" s="174">
        <f t="shared" si="35"/>
        <v>4.1986378136046214E-2</v>
      </c>
      <c r="D64" s="174">
        <f t="shared" si="35"/>
        <v>4.0118757612667477E-2</v>
      </c>
      <c r="E64" s="174">
        <f t="shared" si="35"/>
        <v>4.0666732120085675E-2</v>
      </c>
      <c r="F64" s="174">
        <f t="shared" si="35"/>
        <v>4.092395595626646E-2</v>
      </c>
      <c r="G64" s="174">
        <f t="shared" si="35"/>
        <v>4.0569815229673206E-2</v>
      </c>
      <c r="H64" s="174">
        <f t="shared" si="35"/>
        <v>4.0720167768675118E-2</v>
      </c>
      <c r="I64" s="174">
        <f t="shared" si="35"/>
        <v>4.0737979651538268E-2</v>
      </c>
      <c r="J64" s="174">
        <f t="shared" si="35"/>
        <v>4.0675987549962205E-2</v>
      </c>
      <c r="K64" s="174">
        <f t="shared" si="35"/>
        <v>4.0711378323391861E-2</v>
      </c>
      <c r="L64" s="174">
        <f t="shared" si="35"/>
        <v>4.0708448508297447E-2</v>
      </c>
      <c r="M64" s="171"/>
    </row>
    <row r="65" spans="1:13" x14ac:dyDescent="0.3">
      <c r="A65" s="176" t="str">
        <f t="shared" si="26"/>
        <v>Carriage, freight and distribution</v>
      </c>
      <c r="B65" s="174">
        <f t="shared" ref="B65:L65" si="36">B16/B$7</f>
        <v>5.0027139497014657E-2</v>
      </c>
      <c r="C65" s="174">
        <f t="shared" si="36"/>
        <v>5.1728597292870077E-2</v>
      </c>
      <c r="D65" s="174">
        <f t="shared" si="36"/>
        <v>4.9862971985383676E-2</v>
      </c>
      <c r="E65" s="174">
        <f t="shared" si="36"/>
        <v>5.053956959175613E-2</v>
      </c>
      <c r="F65" s="174">
        <f t="shared" si="36"/>
        <v>5.0710379623336625E-2</v>
      </c>
      <c r="G65" s="174">
        <f t="shared" si="36"/>
        <v>5.0370973733492141E-2</v>
      </c>
      <c r="H65" s="174">
        <f t="shared" si="36"/>
        <v>5.0540307649528299E-2</v>
      </c>
      <c r="I65" s="174">
        <f t="shared" si="36"/>
        <v>5.0540553668785689E-2</v>
      </c>
      <c r="J65" s="174">
        <f t="shared" si="36"/>
        <v>5.048394501726871E-2</v>
      </c>
      <c r="K65" s="174">
        <f t="shared" si="36"/>
        <v>5.0521602111860901E-2</v>
      </c>
      <c r="L65" s="174">
        <f t="shared" si="36"/>
        <v>5.0515366932638438E-2</v>
      </c>
      <c r="M65" s="171"/>
    </row>
    <row r="66" spans="1:13" x14ac:dyDescent="0.3">
      <c r="A66" s="176" t="str">
        <f t="shared" si="26"/>
        <v>Advertising and sales promotion</v>
      </c>
      <c r="B66" s="174">
        <f t="shared" ref="B66:L66" si="37">B17/B$7</f>
        <v>4.5322960014474396E-2</v>
      </c>
      <c r="C66" s="174">
        <f t="shared" si="37"/>
        <v>4.0951806190188809E-2</v>
      </c>
      <c r="D66" s="174">
        <f t="shared" si="37"/>
        <v>3.4409257003654083E-2</v>
      </c>
      <c r="E66" s="174">
        <f t="shared" si="37"/>
        <v>4.0228007736105763E-2</v>
      </c>
      <c r="F66" s="174">
        <f t="shared" si="37"/>
        <v>3.8529690309982885E-2</v>
      </c>
      <c r="G66" s="174">
        <f t="shared" si="37"/>
        <v>3.7722318349914241E-2</v>
      </c>
      <c r="H66" s="174">
        <f t="shared" si="37"/>
        <v>3.8826672132000965E-2</v>
      </c>
      <c r="I66" s="174">
        <f t="shared" si="37"/>
        <v>3.835956026396603E-2</v>
      </c>
      <c r="J66" s="174">
        <f t="shared" si="37"/>
        <v>3.8302850248627084E-2</v>
      </c>
      <c r="K66" s="174">
        <f t="shared" si="37"/>
        <v>3.8496360881531362E-2</v>
      </c>
      <c r="L66" s="174">
        <f t="shared" si="37"/>
        <v>3.8386257131374828E-2</v>
      </c>
      <c r="M66" s="171"/>
    </row>
    <row r="67" spans="1:13" x14ac:dyDescent="0.3">
      <c r="A67" s="176" t="str">
        <f t="shared" si="26"/>
        <v>Conversion charges</v>
      </c>
      <c r="B67" s="174">
        <f t="shared" ref="B67:L67" si="38">B18/B$7</f>
        <v>4.6408539895060615E-2</v>
      </c>
      <c r="C67" s="174">
        <f t="shared" si="38"/>
        <v>4.3796879041296664E-2</v>
      </c>
      <c r="D67" s="174">
        <f t="shared" si="38"/>
        <v>4.3316077953714983E-2</v>
      </c>
      <c r="E67" s="174">
        <f t="shared" si="38"/>
        <v>4.4507165630024083E-2</v>
      </c>
      <c r="F67" s="174">
        <f t="shared" si="38"/>
        <v>4.3873374208345244E-2</v>
      </c>
      <c r="G67" s="174">
        <f t="shared" si="38"/>
        <v>4.3898872597361437E-2</v>
      </c>
      <c r="H67" s="174">
        <f t="shared" si="38"/>
        <v>4.4093137478576926E-2</v>
      </c>
      <c r="I67" s="174">
        <f t="shared" si="38"/>
        <v>4.3955128094761202E-2</v>
      </c>
      <c r="J67" s="174">
        <f t="shared" si="38"/>
        <v>4.3982379390233188E-2</v>
      </c>
      <c r="K67" s="174">
        <f t="shared" si="38"/>
        <v>4.4010214987857101E-2</v>
      </c>
      <c r="L67" s="174">
        <f t="shared" si="38"/>
        <v>4.3982574157617166E-2</v>
      </c>
      <c r="M67" s="171"/>
    </row>
    <row r="68" spans="1:13" x14ac:dyDescent="0.3">
      <c r="A68" s="176" t="str">
        <f t="shared" si="26"/>
        <v xml:space="preserve">Other Expenses </v>
      </c>
      <c r="B68" s="174">
        <f t="shared" ref="B68:L68" si="39">B19/B$7</f>
        <v>6.7848742536638321E-2</v>
      </c>
      <c r="C68" s="174">
        <f t="shared" si="39"/>
        <v>6.5436675575480649E-2</v>
      </c>
      <c r="D68" s="174">
        <f t="shared" si="39"/>
        <v>6.0672959805115716E-2</v>
      </c>
      <c r="E68" s="174">
        <f t="shared" si="39"/>
        <v>6.4652792639078235E-2</v>
      </c>
      <c r="F68" s="174">
        <f t="shared" si="39"/>
        <v>6.3587476006558188E-2</v>
      </c>
      <c r="G68" s="174">
        <f t="shared" si="39"/>
        <v>6.2971076150250715E-2</v>
      </c>
      <c r="H68" s="174">
        <f t="shared" si="39"/>
        <v>6.373711493196238E-2</v>
      </c>
      <c r="I68" s="174">
        <f t="shared" si="39"/>
        <v>6.3431889029590419E-2</v>
      </c>
      <c r="J68" s="174">
        <f t="shared" si="39"/>
        <v>6.33800267039345E-2</v>
      </c>
      <c r="K68" s="174">
        <f t="shared" si="39"/>
        <v>6.3516343555162433E-2</v>
      </c>
      <c r="L68" s="174">
        <f t="shared" si="39"/>
        <v>6.3442753096229113E-2</v>
      </c>
      <c r="M68" s="171"/>
    </row>
    <row r="69" spans="1:13" x14ac:dyDescent="0.3">
      <c r="A69" s="176" t="str">
        <f t="shared" si="26"/>
        <v>Other Expense 2</v>
      </c>
      <c r="B69" s="174">
        <f t="shared" ref="B69:L69" si="40">B20/B$7</f>
        <v>0</v>
      </c>
      <c r="C69" s="174">
        <f t="shared" si="40"/>
        <v>0</v>
      </c>
      <c r="D69" s="174">
        <f t="shared" si="40"/>
        <v>0</v>
      </c>
      <c r="E69" s="174">
        <f t="shared" si="40"/>
        <v>0</v>
      </c>
      <c r="F69" s="174">
        <f t="shared" si="40"/>
        <v>0</v>
      </c>
      <c r="G69" s="174">
        <f t="shared" si="40"/>
        <v>0</v>
      </c>
      <c r="H69" s="174">
        <f t="shared" si="40"/>
        <v>0</v>
      </c>
      <c r="I69" s="174">
        <f t="shared" si="40"/>
        <v>0</v>
      </c>
      <c r="J69" s="174">
        <f t="shared" si="40"/>
        <v>0</v>
      </c>
      <c r="K69" s="174">
        <f t="shared" si="40"/>
        <v>0</v>
      </c>
      <c r="L69" s="174">
        <f t="shared" si="40"/>
        <v>0</v>
      </c>
      <c r="M69" s="171"/>
    </row>
    <row r="70" spans="1:13" x14ac:dyDescent="0.3">
      <c r="A70" s="176" t="str">
        <f t="shared" si="26"/>
        <v>Other Expense 3</v>
      </c>
      <c r="B70" s="174">
        <f t="shared" ref="B70:L70" si="41">B21/B$7</f>
        <v>0</v>
      </c>
      <c r="C70" s="174">
        <f t="shared" si="41"/>
        <v>0</v>
      </c>
      <c r="D70" s="174">
        <f t="shared" si="41"/>
        <v>0</v>
      </c>
      <c r="E70" s="174">
        <f t="shared" si="41"/>
        <v>0</v>
      </c>
      <c r="F70" s="174">
        <f t="shared" si="41"/>
        <v>0</v>
      </c>
      <c r="G70" s="174">
        <f t="shared" si="41"/>
        <v>0</v>
      </c>
      <c r="H70" s="174">
        <f t="shared" si="41"/>
        <v>0</v>
      </c>
      <c r="I70" s="174">
        <f t="shared" si="41"/>
        <v>0</v>
      </c>
      <c r="J70" s="174">
        <f t="shared" si="41"/>
        <v>0</v>
      </c>
      <c r="K70" s="174">
        <f t="shared" si="41"/>
        <v>0</v>
      </c>
      <c r="L70" s="174">
        <f t="shared" si="41"/>
        <v>0</v>
      </c>
      <c r="M70" s="171"/>
    </row>
    <row r="71" spans="1:13" x14ac:dyDescent="0.3">
      <c r="A71" s="177" t="str">
        <f t="shared" si="26"/>
        <v>Total Expenditure</v>
      </c>
      <c r="B71" s="174">
        <f t="shared" ref="B71:L71" si="42">B22/B$7</f>
        <v>0.24950244255473131</v>
      </c>
      <c r="C71" s="174">
        <f t="shared" si="42"/>
        <v>0.24390033623588239</v>
      </c>
      <c r="D71" s="174">
        <f t="shared" si="42"/>
        <v>0.22838002436053592</v>
      </c>
      <c r="E71" s="174">
        <f t="shared" si="42"/>
        <v>0.24059426771704989</v>
      </c>
      <c r="F71" s="174">
        <f t="shared" si="42"/>
        <v>0.23762487610448943</v>
      </c>
      <c r="G71" s="174">
        <f t="shared" si="42"/>
        <v>0.23553305606069172</v>
      </c>
      <c r="H71" s="174">
        <f t="shared" si="42"/>
        <v>0.23791739996074371</v>
      </c>
      <c r="I71" s="174">
        <f t="shared" si="42"/>
        <v>0.2370251107086416</v>
      </c>
      <c r="J71" s="174">
        <f t="shared" si="42"/>
        <v>0.23682518891002569</v>
      </c>
      <c r="K71" s="174">
        <f t="shared" si="42"/>
        <v>0.23725589985980367</v>
      </c>
      <c r="L71" s="174">
        <f t="shared" si="42"/>
        <v>0.23703539982615698</v>
      </c>
      <c r="M71" s="171"/>
    </row>
    <row r="72" spans="1:13" x14ac:dyDescent="0.3">
      <c r="A72" s="177" t="str">
        <f t="shared" si="26"/>
        <v>EBITDA</v>
      </c>
      <c r="B72" s="174">
        <f t="shared" ref="B72:L72" si="43">B23/B$7</f>
        <v>0.15695675773475665</v>
      </c>
      <c r="C72" s="174">
        <f t="shared" si="43"/>
        <v>0.15885248728338655</v>
      </c>
      <c r="D72" s="174">
        <f t="shared" si="43"/>
        <v>0.19107795371498174</v>
      </c>
      <c r="E72" s="174">
        <f t="shared" si="43"/>
        <v>0.16896239957770837</v>
      </c>
      <c r="F72" s="174">
        <f t="shared" si="43"/>
        <v>0.17296428019202567</v>
      </c>
      <c r="G72" s="174">
        <f t="shared" si="43"/>
        <v>0.17766821116157197</v>
      </c>
      <c r="H72" s="174">
        <f t="shared" si="43"/>
        <v>0.17319829697710198</v>
      </c>
      <c r="I72" s="174">
        <f t="shared" si="43"/>
        <v>0.17461026277689989</v>
      </c>
      <c r="J72" s="174">
        <f t="shared" si="43"/>
        <v>0.17515892363852459</v>
      </c>
      <c r="K72" s="174">
        <f t="shared" si="43"/>
        <v>0.17432249446417547</v>
      </c>
      <c r="L72" s="174">
        <f t="shared" si="43"/>
        <v>0.17469722695986667</v>
      </c>
      <c r="M72" s="171"/>
    </row>
    <row r="73" spans="1:13" x14ac:dyDescent="0.3">
      <c r="A73" s="176" t="str">
        <f t="shared" si="26"/>
        <v>Depreciation &amp; Ammortization</v>
      </c>
      <c r="B73" s="174">
        <f t="shared" ref="B73:L73" si="44">B24/B$7</f>
        <v>-1.4644472589108014E-2</v>
      </c>
      <c r="C73" s="174">
        <f t="shared" si="44"/>
        <v>-1.5933270109492199E-2</v>
      </c>
      <c r="D73" s="174">
        <f t="shared" si="44"/>
        <v>-1.5061662606577344E-2</v>
      </c>
      <c r="E73" s="174">
        <f t="shared" si="44"/>
        <v>-1.5712420871351905E-2</v>
      </c>
      <c r="F73" s="174">
        <f t="shared" si="44"/>
        <v>-1.5141723721467222E-2</v>
      </c>
      <c r="G73" s="174">
        <f t="shared" si="44"/>
        <v>-1.4961799342769281E-2</v>
      </c>
      <c r="H73" s="174">
        <f t="shared" si="44"/>
        <v>-1.5011374198489824E-2</v>
      </c>
      <c r="I73" s="174">
        <f t="shared" si="44"/>
        <v>-1.4801273885883487E-2</v>
      </c>
      <c r="J73" s="174">
        <f t="shared" si="44"/>
        <v>-1.4707263166308951E-2</v>
      </c>
      <c r="K73" s="174">
        <f t="shared" si="44"/>
        <v>-1.4639605247452871E-2</v>
      </c>
      <c r="L73" s="174">
        <f t="shared" si="44"/>
        <v>-1.4532639114637031E-2</v>
      </c>
      <c r="M73" s="171"/>
    </row>
    <row r="74" spans="1:13" x14ac:dyDescent="0.3">
      <c r="A74" s="177" t="str">
        <f t="shared" si="26"/>
        <v>EBIT</v>
      </c>
      <c r="B74" s="174">
        <f t="shared" ref="B74:L74" si="45">B25/B$7</f>
        <v>0.14231228514564861</v>
      </c>
      <c r="C74" s="174">
        <f t="shared" si="45"/>
        <v>0.14291921717389436</v>
      </c>
      <c r="D74" s="174">
        <f t="shared" si="45"/>
        <v>0.17601629110840439</v>
      </c>
      <c r="E74" s="174">
        <f t="shared" si="45"/>
        <v>0.15324997870635648</v>
      </c>
      <c r="F74" s="174">
        <f t="shared" si="45"/>
        <v>0.15782255647055846</v>
      </c>
      <c r="G74" s="174">
        <f t="shared" si="45"/>
        <v>0.16270641181880272</v>
      </c>
      <c r="H74" s="174">
        <f t="shared" si="45"/>
        <v>0.15818692277861218</v>
      </c>
      <c r="I74" s="174">
        <f t="shared" si="45"/>
        <v>0.15980898889101641</v>
      </c>
      <c r="J74" s="174">
        <f t="shared" si="45"/>
        <v>0.16045166047221562</v>
      </c>
      <c r="K74" s="174">
        <f t="shared" si="45"/>
        <v>0.15968288921672258</v>
      </c>
      <c r="L74" s="174">
        <f t="shared" si="45"/>
        <v>0.16016458784522963</v>
      </c>
      <c r="M74" s="171"/>
    </row>
    <row r="75" spans="1:13" x14ac:dyDescent="0.3">
      <c r="A75" s="176" t="str">
        <f t="shared" si="26"/>
        <v>Interest</v>
      </c>
      <c r="B75" s="174">
        <f>B26/B$7</f>
        <v>-8.2232675954405641E-4</v>
      </c>
      <c r="C75" s="174">
        <f>C26/C$7</f>
        <v>-6.6298818863695149E-3</v>
      </c>
      <c r="D75" s="174">
        <f>D26/D$7</f>
        <v>-8.4424482338611457E-3</v>
      </c>
      <c r="E75" s="174">
        <f t="shared" ref="E75:L75" si="46">E26/E$7</f>
        <v>-8.2498583038059566E-3</v>
      </c>
      <c r="F75" s="174">
        <f t="shared" si="46"/>
        <v>-7.1556627963676846E-3</v>
      </c>
      <c r="G75" s="174">
        <f t="shared" si="46"/>
        <v>-6.6758959975346983E-3</v>
      </c>
      <c r="H75" s="174">
        <f t="shared" si="46"/>
        <v>-6.172619245468045E-3</v>
      </c>
      <c r="I75" s="174">
        <f t="shared" si="46"/>
        <v>-5.6024687115683869E-3</v>
      </c>
      <c r="J75" s="174">
        <f t="shared" si="46"/>
        <v>-5.1634220935874199E-3</v>
      </c>
      <c r="K75" s="174">
        <f t="shared" si="46"/>
        <v>-4.7396549756720504E-3</v>
      </c>
      <c r="L75" s="174">
        <f t="shared" si="46"/>
        <v>-4.3401300589084981E-3</v>
      </c>
      <c r="M75" s="171"/>
    </row>
    <row r="76" spans="1:13" x14ac:dyDescent="0.3">
      <c r="A76" s="177" t="str">
        <f t="shared" ref="A76:A83" si="47">A28</f>
        <v>Profit before Prior Period Items and Tax</v>
      </c>
      <c r="B76" s="174">
        <f t="shared" ref="B76:D83" si="48">B28/B$7</f>
        <v>0.16016645558168988</v>
      </c>
      <c r="C76" s="174">
        <f t="shared" si="48"/>
        <v>0.16037761876023801</v>
      </c>
      <c r="D76" s="174">
        <f t="shared" si="48"/>
        <v>0.19140149208282584</v>
      </c>
      <c r="E76" s="174">
        <f t="shared" ref="E76:L76" si="49">E28/E$7</f>
        <v>0.16686034903400243</v>
      </c>
      <c r="F76" s="174">
        <f t="shared" si="49"/>
        <v>0.17072214929937599</v>
      </c>
      <c r="G76" s="174">
        <f t="shared" si="49"/>
        <v>0.17442983290859393</v>
      </c>
      <c r="H76" s="174">
        <f t="shared" si="49"/>
        <v>0.16889441095270918</v>
      </c>
      <c r="I76" s="174">
        <f t="shared" si="49"/>
        <v>0.16969285726161781</v>
      </c>
      <c r="J76" s="174">
        <f t="shared" si="49"/>
        <v>0.16949588707786653</v>
      </c>
      <c r="K76" s="174">
        <f t="shared" si="49"/>
        <v>0.16797777433209488</v>
      </c>
      <c r="L76" s="174">
        <f t="shared" si="49"/>
        <v>0.1677827514478297</v>
      </c>
      <c r="M76" s="171"/>
    </row>
    <row r="77" spans="1:13" x14ac:dyDescent="0.3">
      <c r="A77" s="176" t="str">
        <f t="shared" si="47"/>
        <v>Exceptional Items</v>
      </c>
      <c r="B77" s="174">
        <f t="shared" si="48"/>
        <v>0</v>
      </c>
      <c r="C77" s="174">
        <f t="shared" si="48"/>
        <v>-1.4665057332528667E-3</v>
      </c>
      <c r="D77" s="174">
        <f t="shared" si="48"/>
        <v>-4.6437271619975639E-5</v>
      </c>
      <c r="E77" s="174">
        <f t="shared" ref="E77:L77" si="50">E29/E$7</f>
        <v>0</v>
      </c>
      <c r="F77" s="174">
        <f t="shared" si="50"/>
        <v>0</v>
      </c>
      <c r="G77" s="174">
        <f t="shared" si="50"/>
        <v>0</v>
      </c>
      <c r="H77" s="174">
        <f t="shared" si="50"/>
        <v>0</v>
      </c>
      <c r="I77" s="174">
        <f t="shared" si="50"/>
        <v>0</v>
      </c>
      <c r="J77" s="174">
        <f t="shared" si="50"/>
        <v>0</v>
      </c>
      <c r="K77" s="174">
        <f t="shared" si="50"/>
        <v>0</v>
      </c>
      <c r="L77" s="174">
        <f t="shared" si="50"/>
        <v>0</v>
      </c>
      <c r="M77" s="171"/>
    </row>
    <row r="78" spans="1:13" x14ac:dyDescent="0.3">
      <c r="A78" s="176" t="str">
        <f t="shared" si="47"/>
        <v>Share of loss/profits of associates</v>
      </c>
      <c r="B78" s="174">
        <f t="shared" si="48"/>
        <v>-8.7751040347385556E-5</v>
      </c>
      <c r="C78" s="174">
        <f t="shared" si="48"/>
        <v>3.7934304681438058E-5</v>
      </c>
      <c r="D78" s="174">
        <f t="shared" si="48"/>
        <v>6.1662606577344702E-5</v>
      </c>
      <c r="E78" s="174">
        <f t="shared" ref="E78:L78" si="51">E30/E$7</f>
        <v>6.9840986042977353E-5</v>
      </c>
      <c r="F78" s="174">
        <f t="shared" si="51"/>
        <v>6.4074299121997567E-5</v>
      </c>
      <c r="G78" s="174">
        <f t="shared" si="51"/>
        <v>5.8783760662383094E-5</v>
      </c>
      <c r="H78" s="174">
        <f t="shared" si="51"/>
        <v>5.3930055653562468E-5</v>
      </c>
      <c r="I78" s="174">
        <f t="shared" si="51"/>
        <v>4.9477115278497679E-5</v>
      </c>
      <c r="J78" s="174">
        <f t="shared" si="51"/>
        <v>4.539184887935567E-5</v>
      </c>
      <c r="K78" s="174">
        <f t="shared" si="51"/>
        <v>4.1643898054454743E-5</v>
      </c>
      <c r="L78" s="174">
        <f t="shared" si="51"/>
        <v>3.8205411059132788E-5</v>
      </c>
      <c r="M78" s="171"/>
    </row>
    <row r="79" spans="1:13" x14ac:dyDescent="0.3">
      <c r="A79" s="177" t="str">
        <f t="shared" si="47"/>
        <v>Profit/Loss before Taxation</v>
      </c>
      <c r="B79" s="174">
        <f t="shared" si="48"/>
        <v>0.16007870454134249</v>
      </c>
      <c r="C79" s="174">
        <f t="shared" si="48"/>
        <v>0.15894904733166659</v>
      </c>
      <c r="D79" s="174">
        <f t="shared" si="48"/>
        <v>0.19141671741778318</v>
      </c>
      <c r="E79" s="174">
        <f t="shared" ref="E79:L79" si="52">E31/E$7</f>
        <v>0.16693019002004542</v>
      </c>
      <c r="F79" s="174">
        <f t="shared" si="52"/>
        <v>0.17078622359849799</v>
      </c>
      <c r="G79" s="174">
        <f t="shared" si="52"/>
        <v>0.1744886166692563</v>
      </c>
      <c r="H79" s="174">
        <f t="shared" si="52"/>
        <v>0.16894834100836276</v>
      </c>
      <c r="I79" s="174">
        <f t="shared" si="52"/>
        <v>0.16974233437689631</v>
      </c>
      <c r="J79" s="174">
        <f t="shared" si="52"/>
        <v>0.16954127892674589</v>
      </c>
      <c r="K79" s="174">
        <f t="shared" si="52"/>
        <v>0.16801941823014932</v>
      </c>
      <c r="L79" s="174">
        <f t="shared" si="52"/>
        <v>0.16782095685888881</v>
      </c>
      <c r="M79" s="171"/>
    </row>
    <row r="80" spans="1:13" x14ac:dyDescent="0.3">
      <c r="A80" s="176" t="str">
        <f t="shared" si="47"/>
        <v>Current Tax</v>
      </c>
      <c r="B80" s="174">
        <f t="shared" si="48"/>
        <v>-5.4259091731499905E-2</v>
      </c>
      <c r="C80" s="174">
        <f t="shared" si="48"/>
        <v>-3.8597292870075003E-2</v>
      </c>
      <c r="D80" s="174">
        <f t="shared" si="48"/>
        <v>-5.0024360535931789E-2</v>
      </c>
      <c r="E80" s="174">
        <f t="shared" ref="E80:L80" si="53">E32/E$7</f>
        <v>-4.2412339281836874E-2</v>
      </c>
      <c r="F80" s="174">
        <f t="shared" si="53"/>
        <v>-4.3392050647359473E-2</v>
      </c>
      <c r="G80" s="174">
        <f t="shared" si="53"/>
        <v>-4.4891764200413513E-2</v>
      </c>
      <c r="H80" s="174">
        <f t="shared" si="53"/>
        <v>-4.3105524799182518E-2</v>
      </c>
      <c r="I80" s="174">
        <f t="shared" si="53"/>
        <v>-4.3368530205549816E-2</v>
      </c>
      <c r="J80" s="174">
        <f t="shared" si="53"/>
        <v>-4.3397633496646694E-2</v>
      </c>
      <c r="K80" s="174">
        <f t="shared" si="53"/>
        <v>-4.2934977409459583E-2</v>
      </c>
      <c r="L80" s="174">
        <f t="shared" si="53"/>
        <v>-4.2906389995238527E-2</v>
      </c>
      <c r="M80" s="171"/>
    </row>
    <row r="81" spans="1:13" x14ac:dyDescent="0.3">
      <c r="A81" s="176" t="str">
        <f t="shared" si="47"/>
        <v>Provision for Deferred tax</v>
      </c>
      <c r="B81" s="174">
        <f t="shared" si="48"/>
        <v>-1.1480007237199203E-3</v>
      </c>
      <c r="C81" s="174">
        <f t="shared" si="48"/>
        <v>-2.5950512975256486E-4</v>
      </c>
      <c r="D81" s="174">
        <f t="shared" si="48"/>
        <v>-4.4914738124238738E-4</v>
      </c>
      <c r="E81" s="174">
        <f t="shared" ref="E81:L81" si="54">E33/E$7</f>
        <v>0</v>
      </c>
      <c r="F81" s="174">
        <f t="shared" si="54"/>
        <v>0</v>
      </c>
      <c r="G81" s="174">
        <f t="shared" si="54"/>
        <v>0</v>
      </c>
      <c r="H81" s="174">
        <f t="shared" si="54"/>
        <v>0</v>
      </c>
      <c r="I81" s="174">
        <f t="shared" si="54"/>
        <v>0</v>
      </c>
      <c r="J81" s="174">
        <f t="shared" si="54"/>
        <v>0</v>
      </c>
      <c r="K81" s="174">
        <f t="shared" si="54"/>
        <v>0</v>
      </c>
      <c r="L81" s="174">
        <f t="shared" si="54"/>
        <v>0</v>
      </c>
      <c r="M81" s="171"/>
    </row>
    <row r="82" spans="1:13" x14ac:dyDescent="0.3">
      <c r="A82" s="176" t="str">
        <f t="shared" si="47"/>
        <v>Other Tax</v>
      </c>
      <c r="B82" s="174">
        <f t="shared" si="48"/>
        <v>0</v>
      </c>
      <c r="C82" s="174">
        <f t="shared" si="48"/>
        <v>0</v>
      </c>
      <c r="D82" s="174">
        <f t="shared" si="48"/>
        <v>0</v>
      </c>
      <c r="E82" s="174">
        <f t="shared" ref="E82:L82" si="55">E34/E$7</f>
        <v>0</v>
      </c>
      <c r="F82" s="174">
        <f t="shared" si="55"/>
        <v>0</v>
      </c>
      <c r="G82" s="174">
        <f t="shared" si="55"/>
        <v>0</v>
      </c>
      <c r="H82" s="174">
        <f t="shared" si="55"/>
        <v>0</v>
      </c>
      <c r="I82" s="174">
        <f t="shared" si="55"/>
        <v>0</v>
      </c>
      <c r="J82" s="174">
        <f t="shared" si="55"/>
        <v>0</v>
      </c>
      <c r="K82" s="174">
        <f t="shared" si="55"/>
        <v>0</v>
      </c>
      <c r="L82" s="174">
        <f t="shared" si="55"/>
        <v>0</v>
      </c>
      <c r="M82" s="171"/>
    </row>
    <row r="83" spans="1:13" x14ac:dyDescent="0.3">
      <c r="A83" s="177" t="str">
        <f t="shared" si="47"/>
        <v>Profit/Loss after Tax</v>
      </c>
      <c r="B83" s="174">
        <f t="shared" si="48"/>
        <v>0.10467161208612266</v>
      </c>
      <c r="C83" s="174">
        <f t="shared" si="48"/>
        <v>0.12009224933183901</v>
      </c>
      <c r="D83" s="174">
        <f t="shared" si="48"/>
        <v>0.14094320950060901</v>
      </c>
      <c r="E83" s="174">
        <f t="shared" ref="E83:L83" si="56">E35/E$7</f>
        <v>0.12451785073820854</v>
      </c>
      <c r="F83" s="174">
        <f t="shared" si="56"/>
        <v>0.12739417295113853</v>
      </c>
      <c r="G83" s="174">
        <f t="shared" si="56"/>
        <v>0.12959685246884281</v>
      </c>
      <c r="H83" s="174">
        <f t="shared" si="56"/>
        <v>0.12584281620918025</v>
      </c>
      <c r="I83" s="174">
        <f t="shared" si="56"/>
        <v>0.1263738041713465</v>
      </c>
      <c r="J83" s="174">
        <f t="shared" si="56"/>
        <v>0.1261436454300992</v>
      </c>
      <c r="K83" s="174">
        <f t="shared" si="56"/>
        <v>0.12508444082068976</v>
      </c>
      <c r="L83" s="174">
        <f t="shared" si="56"/>
        <v>0.12491456686365029</v>
      </c>
      <c r="M83" s="171"/>
    </row>
    <row r="84" spans="1:13" x14ac:dyDescent="0.3">
      <c r="A84" s="176"/>
      <c r="B84" s="174"/>
      <c r="C84" s="174"/>
      <c r="D84" s="174"/>
      <c r="E84" s="174"/>
      <c r="F84" s="174"/>
      <c r="G84" s="174"/>
      <c r="H84" s="174"/>
      <c r="I84" s="174"/>
      <c r="J84" s="174"/>
      <c r="K84" s="174"/>
      <c r="L84" s="174"/>
      <c r="M84" s="171"/>
    </row>
    <row r="85" spans="1:13" x14ac:dyDescent="0.3">
      <c r="A85" s="176" t="str">
        <f t="shared" ref="A85:A90" si="57">A37</f>
        <v>Reassesment of defined benefit</v>
      </c>
      <c r="B85" s="174">
        <f t="shared" ref="B85:D90" si="58">B37/B$7</f>
        <v>-3.7000180929980096E-4</v>
      </c>
      <c r="C85" s="174">
        <f t="shared" si="58"/>
        <v>-5.6039313733942582E-4</v>
      </c>
      <c r="D85" s="174">
        <f t="shared" si="58"/>
        <v>2.664433617539586E-4</v>
      </c>
      <c r="E85" s="174">
        <f t="shared" ref="E85:L85" si="59">E37/E$7</f>
        <v>0</v>
      </c>
      <c r="F85" s="174">
        <f t="shared" si="59"/>
        <v>0</v>
      </c>
      <c r="G85" s="174">
        <f t="shared" si="59"/>
        <v>0</v>
      </c>
      <c r="H85" s="174">
        <f t="shared" si="59"/>
        <v>0</v>
      </c>
      <c r="I85" s="174">
        <f t="shared" si="59"/>
        <v>0</v>
      </c>
      <c r="J85" s="174">
        <f t="shared" si="59"/>
        <v>0</v>
      </c>
      <c r="K85" s="174">
        <f t="shared" si="59"/>
        <v>0</v>
      </c>
      <c r="L85" s="174">
        <f t="shared" si="59"/>
        <v>0</v>
      </c>
      <c r="M85" s="171"/>
    </row>
    <row r="86" spans="1:13" x14ac:dyDescent="0.3">
      <c r="A86" s="176" t="str">
        <f t="shared" si="57"/>
        <v>Income tax related income</v>
      </c>
      <c r="B86" s="174">
        <f t="shared" si="58"/>
        <v>1.2936493576985706E-4</v>
      </c>
      <c r="C86" s="174">
        <f t="shared" si="58"/>
        <v>1.3535649624967671E-4</v>
      </c>
      <c r="D86" s="174">
        <f t="shared" si="58"/>
        <v>-7.0036540803897695E-5</v>
      </c>
      <c r="E86" s="174">
        <f t="shared" ref="E86:L86" si="60">E38/E$7</f>
        <v>0</v>
      </c>
      <c r="F86" s="174">
        <f t="shared" si="60"/>
        <v>0</v>
      </c>
      <c r="G86" s="174">
        <f t="shared" si="60"/>
        <v>0</v>
      </c>
      <c r="H86" s="174">
        <f t="shared" si="60"/>
        <v>0</v>
      </c>
      <c r="I86" s="174">
        <f t="shared" si="60"/>
        <v>0</v>
      </c>
      <c r="J86" s="174">
        <f t="shared" si="60"/>
        <v>0</v>
      </c>
      <c r="K86" s="174">
        <f t="shared" si="60"/>
        <v>0</v>
      </c>
      <c r="L86" s="174">
        <f t="shared" si="60"/>
        <v>0</v>
      </c>
      <c r="M86" s="171"/>
    </row>
    <row r="87" spans="1:13" x14ac:dyDescent="0.3">
      <c r="A87" s="176" t="str">
        <f t="shared" si="57"/>
        <v>Foreign Currency translation reserve</v>
      </c>
      <c r="B87" s="174">
        <f t="shared" si="58"/>
        <v>5.8802243531753213E-4</v>
      </c>
      <c r="C87" s="174">
        <f t="shared" si="58"/>
        <v>8.6645400465557379E-4</v>
      </c>
      <c r="D87" s="174">
        <f t="shared" si="58"/>
        <v>-3.1059683313032889E-4</v>
      </c>
      <c r="E87" s="174">
        <f t="shared" ref="E87:L87" si="61">E39/E$7</f>
        <v>0</v>
      </c>
      <c r="F87" s="174">
        <f t="shared" si="61"/>
        <v>0</v>
      </c>
      <c r="G87" s="174">
        <f t="shared" si="61"/>
        <v>0</v>
      </c>
      <c r="H87" s="174">
        <f t="shared" si="61"/>
        <v>0</v>
      </c>
      <c r="I87" s="174">
        <f t="shared" si="61"/>
        <v>0</v>
      </c>
      <c r="J87" s="174">
        <f t="shared" si="61"/>
        <v>0</v>
      </c>
      <c r="K87" s="174">
        <f t="shared" si="61"/>
        <v>0</v>
      </c>
      <c r="L87" s="174">
        <f t="shared" si="61"/>
        <v>0</v>
      </c>
      <c r="M87" s="171"/>
    </row>
    <row r="88" spans="1:13" x14ac:dyDescent="0.3">
      <c r="A88" s="176" t="str">
        <f t="shared" si="57"/>
        <v>Item #4</v>
      </c>
      <c r="B88" s="174">
        <f t="shared" si="58"/>
        <v>0</v>
      </c>
      <c r="C88" s="174">
        <f t="shared" si="58"/>
        <v>0</v>
      </c>
      <c r="D88" s="174">
        <f t="shared" si="58"/>
        <v>0</v>
      </c>
      <c r="E88" s="174">
        <f t="shared" ref="E88:L88" si="62">E40/E$7</f>
        <v>0</v>
      </c>
      <c r="F88" s="174">
        <f t="shared" si="62"/>
        <v>0</v>
      </c>
      <c r="G88" s="174">
        <f t="shared" si="62"/>
        <v>0</v>
      </c>
      <c r="H88" s="174">
        <f t="shared" si="62"/>
        <v>0</v>
      </c>
      <c r="I88" s="174">
        <f t="shared" si="62"/>
        <v>0</v>
      </c>
      <c r="J88" s="174">
        <f t="shared" si="62"/>
        <v>0</v>
      </c>
      <c r="K88" s="174">
        <f t="shared" si="62"/>
        <v>0</v>
      </c>
      <c r="L88" s="174">
        <f t="shared" si="62"/>
        <v>0</v>
      </c>
      <c r="M88" s="171"/>
    </row>
    <row r="89" spans="1:13" x14ac:dyDescent="0.3">
      <c r="A89" s="177" t="str">
        <f t="shared" si="57"/>
        <v>Total Comprehensive Income to common shareholders</v>
      </c>
      <c r="B89" s="174">
        <f t="shared" si="58"/>
        <v>0.10501899764791024</v>
      </c>
      <c r="C89" s="174">
        <f t="shared" si="58"/>
        <v>0.12053366669540483</v>
      </c>
      <c r="D89" s="174">
        <f t="shared" si="58"/>
        <v>0.14082901948842874</v>
      </c>
      <c r="E89" s="174">
        <f t="shared" ref="E89:L89" si="63">E41/E$7</f>
        <v>0.12451785073820854</v>
      </c>
      <c r="F89" s="174">
        <f t="shared" si="63"/>
        <v>0.12739417295113853</v>
      </c>
      <c r="G89" s="174">
        <f t="shared" si="63"/>
        <v>0.12959685246884281</v>
      </c>
      <c r="H89" s="174">
        <f t="shared" si="63"/>
        <v>0.12584281620918025</v>
      </c>
      <c r="I89" s="174">
        <f t="shared" si="63"/>
        <v>0.1263738041713465</v>
      </c>
      <c r="J89" s="174">
        <f t="shared" si="63"/>
        <v>0.1261436454300992</v>
      </c>
      <c r="K89" s="174">
        <f t="shared" si="63"/>
        <v>0.12508444082068976</v>
      </c>
      <c r="L89" s="174">
        <f t="shared" si="63"/>
        <v>0.12491456686365029</v>
      </c>
      <c r="M89" s="171"/>
    </row>
    <row r="90" spans="1:13" x14ac:dyDescent="0.3">
      <c r="A90" s="176" t="str">
        <f t="shared" si="57"/>
        <v>Minority Interests</v>
      </c>
      <c r="B90" s="174">
        <f t="shared" si="58"/>
        <v>3.3110186357879499E-4</v>
      </c>
      <c r="C90" s="174">
        <f t="shared" si="58"/>
        <v>7.7851538925769457E-4</v>
      </c>
      <c r="D90" s="174">
        <f t="shared" si="58"/>
        <v>1.0132460414129111E-3</v>
      </c>
      <c r="E90" s="174">
        <f t="shared" ref="E90:L90" si="64">E42/E$7</f>
        <v>9.2958352423202855E-4</v>
      </c>
      <c r="F90" s="174">
        <f t="shared" si="64"/>
        <v>8.5282892131378766E-4</v>
      </c>
      <c r="G90" s="174">
        <f t="shared" si="64"/>
        <v>7.8241185441631895E-4</v>
      </c>
      <c r="H90" s="174">
        <f t="shared" si="64"/>
        <v>7.1780904074891653E-4</v>
      </c>
      <c r="I90" s="174">
        <f t="shared" si="64"/>
        <v>6.5854040435680411E-4</v>
      </c>
      <c r="J90" s="174">
        <f t="shared" si="64"/>
        <v>6.0416550858422404E-4</v>
      </c>
      <c r="K90" s="174">
        <f t="shared" si="64"/>
        <v>5.5428028310479263E-4</v>
      </c>
      <c r="L90" s="174">
        <f t="shared" si="64"/>
        <v>5.0851402119705751E-4</v>
      </c>
      <c r="M90" s="171"/>
    </row>
    <row r="91" spans="1:13" x14ac:dyDescent="0.3">
      <c r="A91" s="149"/>
      <c r="B91" s="61"/>
      <c r="C91" s="61"/>
      <c r="D91" s="61"/>
      <c r="E91" s="61"/>
      <c r="F91" s="61"/>
      <c r="G91" s="61"/>
      <c r="H91" s="61"/>
      <c r="I91" s="61"/>
      <c r="J91" s="61"/>
      <c r="K91" s="61"/>
      <c r="L91" s="61"/>
    </row>
    <row r="92" spans="1:13" x14ac:dyDescent="0.3">
      <c r="A92" s="149"/>
      <c r="B92" s="61"/>
      <c r="C92" s="61"/>
      <c r="D92" s="61"/>
      <c r="E92" s="61"/>
      <c r="F92" s="61"/>
      <c r="G92" s="61"/>
      <c r="H92" s="61"/>
      <c r="I92" s="61"/>
      <c r="J92" s="61"/>
      <c r="K92" s="61"/>
      <c r="L92" s="61"/>
    </row>
    <row r="93" spans="1:13" x14ac:dyDescent="0.3">
      <c r="A93" s="149"/>
      <c r="B93" s="61"/>
      <c r="C93" s="61"/>
      <c r="D93" s="61"/>
      <c r="E93" s="61"/>
      <c r="F93" s="61"/>
      <c r="G93" s="61"/>
      <c r="H93" s="61"/>
      <c r="I93" s="61"/>
      <c r="J93" s="61"/>
      <c r="K93" s="61"/>
      <c r="L93" s="61"/>
    </row>
    <row r="94" spans="1:13" x14ac:dyDescent="0.3">
      <c r="A94" s="149"/>
      <c r="B94" s="61"/>
      <c r="C94" s="61"/>
      <c r="D94" s="61"/>
      <c r="E94" s="61"/>
      <c r="F94" s="61"/>
      <c r="G94" s="61"/>
      <c r="H94" s="61"/>
      <c r="I94" s="61"/>
      <c r="J94" s="61"/>
      <c r="K94" s="61"/>
      <c r="L94" s="61"/>
    </row>
    <row r="95" spans="1:13" x14ac:dyDescent="0.3">
      <c r="A95" s="149"/>
      <c r="B95" s="61"/>
      <c r="C95" s="61"/>
      <c r="D95" s="61"/>
      <c r="E95" s="61"/>
      <c r="F95" s="61"/>
      <c r="G95" s="61"/>
      <c r="H95" s="61"/>
      <c r="I95" s="61"/>
      <c r="J95" s="61"/>
      <c r="K95" s="61"/>
      <c r="L95" s="61"/>
    </row>
    <row r="96" spans="1:13" x14ac:dyDescent="0.3">
      <c r="A96" s="149"/>
      <c r="B96" s="61"/>
      <c r="C96" s="61"/>
      <c r="D96" s="61"/>
      <c r="E96" s="61"/>
      <c r="F96" s="61"/>
      <c r="G96" s="61"/>
      <c r="H96" s="61"/>
      <c r="I96" s="61"/>
      <c r="J96" s="61"/>
      <c r="K96" s="61"/>
      <c r="L96" s="61"/>
    </row>
    <row r="97" spans="1:12" x14ac:dyDescent="0.3">
      <c r="A97" s="61"/>
      <c r="B97" s="61"/>
      <c r="C97" s="61"/>
      <c r="D97" s="61"/>
      <c r="E97" s="61"/>
      <c r="F97" s="61"/>
      <c r="G97" s="61"/>
      <c r="H97" s="61"/>
      <c r="I97" s="61"/>
      <c r="J97" s="61"/>
      <c r="K97" s="61"/>
      <c r="L97" s="61"/>
    </row>
    <row r="98" spans="1:12" x14ac:dyDescent="0.3">
      <c r="A98" s="61"/>
      <c r="B98" s="61"/>
      <c r="C98" s="61"/>
      <c r="D98" s="61"/>
      <c r="E98" s="61"/>
      <c r="F98" s="61"/>
      <c r="G98" s="61"/>
      <c r="H98" s="61"/>
      <c r="I98" s="61"/>
      <c r="J98" s="61"/>
      <c r="K98" s="61"/>
      <c r="L98" s="61"/>
    </row>
    <row r="99" spans="1:12" x14ac:dyDescent="0.3">
      <c r="A99" s="61"/>
      <c r="B99" s="61"/>
      <c r="C99" s="61"/>
      <c r="D99" s="61"/>
      <c r="E99" s="61"/>
      <c r="F99" s="61"/>
      <c r="G99" s="61"/>
      <c r="H99" s="61"/>
      <c r="I99" s="61"/>
      <c r="J99" s="61"/>
      <c r="K99" s="61"/>
      <c r="L99" s="61"/>
    </row>
    <row r="100" spans="1:12" x14ac:dyDescent="0.3">
      <c r="A100" s="2"/>
      <c r="B100" s="2"/>
      <c r="C100" s="2"/>
      <c r="D100" s="2"/>
      <c r="E100" s="2"/>
      <c r="F100" s="2"/>
      <c r="G100" s="2"/>
      <c r="H100" s="2"/>
      <c r="I100" s="2"/>
      <c r="J100" s="2"/>
      <c r="K100" s="2"/>
      <c r="L100" s="2"/>
    </row>
    <row r="101" spans="1:12" x14ac:dyDescent="0.3">
      <c r="A101" s="2"/>
      <c r="B101" s="2"/>
      <c r="C101" s="2"/>
      <c r="D101" s="2"/>
      <c r="E101" s="2"/>
      <c r="F101" s="2"/>
      <c r="G101" s="2"/>
      <c r="H101" s="2"/>
      <c r="I101" s="2"/>
      <c r="J101" s="2"/>
      <c r="K101" s="2"/>
      <c r="L101" s="2"/>
    </row>
    <row r="102" spans="1:12" x14ac:dyDescent="0.3">
      <c r="A102" s="2"/>
      <c r="B102" s="2"/>
      <c r="C102" s="2"/>
      <c r="D102" s="2"/>
      <c r="E102" s="2"/>
      <c r="F102" s="2"/>
      <c r="G102" s="2"/>
      <c r="H102" s="2"/>
      <c r="I102" s="2"/>
      <c r="J102" s="2"/>
      <c r="K102" s="2"/>
      <c r="L102" s="2"/>
    </row>
    <row r="103" spans="1:12" x14ac:dyDescent="0.3">
      <c r="A103" s="2"/>
      <c r="B103" s="2"/>
      <c r="C103" s="2"/>
      <c r="D103" s="2"/>
      <c r="E103" s="2"/>
      <c r="F103" s="2"/>
      <c r="G103" s="2"/>
      <c r="H103" s="2"/>
      <c r="I103" s="2"/>
      <c r="J103" s="2"/>
      <c r="K103" s="2"/>
      <c r="L103" s="2"/>
    </row>
    <row r="104" spans="1:12" x14ac:dyDescent="0.3">
      <c r="A104" s="2"/>
      <c r="B104" s="2"/>
      <c r="C104" s="2"/>
      <c r="D104" s="2"/>
      <c r="E104" s="2"/>
      <c r="F104" s="2"/>
      <c r="G104" s="2"/>
      <c r="H104" s="2"/>
      <c r="I104" s="2"/>
      <c r="J104" s="2"/>
      <c r="K104" s="2"/>
      <c r="L104" s="2"/>
    </row>
    <row r="105" spans="1:12" x14ac:dyDescent="0.3">
      <c r="A105" s="2"/>
      <c r="B105" s="2"/>
      <c r="C105" s="2"/>
      <c r="D105" s="2"/>
      <c r="E105" s="2"/>
      <c r="F105" s="2"/>
      <c r="G105" s="2"/>
      <c r="H105" s="2"/>
      <c r="I105" s="2"/>
      <c r="J105" s="2"/>
      <c r="K105" s="2"/>
      <c r="L105" s="2"/>
    </row>
    <row r="106" spans="1:12" x14ac:dyDescent="0.3">
      <c r="A106" s="2"/>
      <c r="B106" s="2"/>
      <c r="C106" s="2"/>
      <c r="D106" s="2"/>
      <c r="E106" s="2"/>
      <c r="F106" s="2"/>
      <c r="G106" s="2"/>
      <c r="H106" s="2"/>
      <c r="I106" s="2"/>
      <c r="J106" s="2"/>
      <c r="K106" s="2"/>
      <c r="L106" s="2"/>
    </row>
    <row r="107" spans="1:12" x14ac:dyDescent="0.3">
      <c r="A107" s="2"/>
      <c r="B107" s="2"/>
      <c r="C107" s="2"/>
      <c r="D107" s="2"/>
      <c r="E107" s="2"/>
      <c r="F107" s="2"/>
      <c r="G107" s="2"/>
      <c r="H107" s="2"/>
      <c r="I107" s="2"/>
      <c r="J107" s="2"/>
      <c r="K107" s="2"/>
      <c r="L107" s="2"/>
    </row>
    <row r="108" spans="1:12" x14ac:dyDescent="0.3">
      <c r="A108" s="2"/>
      <c r="B108" s="2"/>
      <c r="C108" s="2"/>
      <c r="D108" s="2"/>
      <c r="E108" s="2"/>
      <c r="F108" s="2"/>
      <c r="G108" s="2"/>
      <c r="H108" s="2"/>
      <c r="I108" s="2"/>
      <c r="J108" s="2"/>
      <c r="K108" s="2"/>
      <c r="L108" s="2"/>
    </row>
    <row r="109" spans="1:12" x14ac:dyDescent="0.3">
      <c r="A109" s="2"/>
      <c r="B109" s="2"/>
      <c r="C109" s="2"/>
      <c r="D109" s="2"/>
      <c r="E109" s="2"/>
      <c r="F109" s="2"/>
      <c r="G109" s="2"/>
      <c r="H109" s="2"/>
      <c r="I109" s="2"/>
      <c r="J109" s="2"/>
      <c r="K109" s="2"/>
      <c r="L109" s="2"/>
    </row>
    <row r="110" spans="1:12" x14ac:dyDescent="0.3">
      <c r="A110" s="2"/>
      <c r="B110" s="2"/>
      <c r="C110" s="2"/>
      <c r="D110" s="2"/>
      <c r="E110" s="2"/>
      <c r="F110" s="2"/>
      <c r="G110" s="2"/>
      <c r="H110" s="2"/>
      <c r="I110" s="2"/>
      <c r="J110" s="2"/>
      <c r="K110" s="2"/>
      <c r="L110" s="2"/>
    </row>
    <row r="111" spans="1:12" x14ac:dyDescent="0.3">
      <c r="A111" s="2"/>
      <c r="B111" s="2"/>
      <c r="C111" s="2"/>
      <c r="D111" s="2"/>
      <c r="E111" s="2"/>
      <c r="F111" s="2"/>
      <c r="G111" s="2"/>
      <c r="H111" s="2"/>
      <c r="I111" s="2"/>
      <c r="J111" s="2"/>
      <c r="K111" s="2"/>
      <c r="L111" s="2"/>
    </row>
    <row r="112" spans="1:12" x14ac:dyDescent="0.3">
      <c r="A112" s="2"/>
      <c r="B112" s="2"/>
      <c r="C112" s="2"/>
      <c r="D112" s="2"/>
      <c r="E112" s="2"/>
      <c r="F112" s="2"/>
      <c r="G112" s="2"/>
      <c r="H112" s="2"/>
      <c r="I112" s="2"/>
      <c r="J112" s="2"/>
      <c r="K112" s="2"/>
      <c r="L112" s="2"/>
    </row>
    <row r="113" spans="1:12" x14ac:dyDescent="0.3">
      <c r="A113" s="2"/>
      <c r="B113" s="2"/>
      <c r="C113" s="2"/>
      <c r="D113" s="2"/>
      <c r="E113" s="2"/>
      <c r="F113" s="2"/>
      <c r="G113" s="2"/>
      <c r="H113" s="2"/>
      <c r="I113" s="2"/>
      <c r="J113" s="2"/>
      <c r="K113" s="2"/>
      <c r="L113" s="2"/>
    </row>
    <row r="114" spans="1:12" x14ac:dyDescent="0.3">
      <c r="A114" s="2"/>
      <c r="B114" s="2"/>
      <c r="C114" s="2"/>
      <c r="D114" s="2"/>
      <c r="E114" s="2"/>
      <c r="F114" s="2"/>
      <c r="G114" s="2"/>
      <c r="H114" s="2"/>
      <c r="I114" s="2"/>
      <c r="J114" s="2"/>
      <c r="K114" s="2"/>
      <c r="L114" s="2"/>
    </row>
    <row r="115" spans="1:12" x14ac:dyDescent="0.3">
      <c r="A115" s="2"/>
      <c r="B115" s="2"/>
      <c r="C115" s="2"/>
      <c r="D115" s="2"/>
      <c r="E115" s="2"/>
      <c r="F115" s="2"/>
      <c r="G115" s="2"/>
      <c r="H115" s="2"/>
      <c r="I115" s="2"/>
      <c r="J115" s="2"/>
      <c r="K115" s="2"/>
      <c r="L115" s="2"/>
    </row>
    <row r="116" spans="1:12" x14ac:dyDescent="0.3">
      <c r="A116" s="2"/>
      <c r="B116" s="2"/>
      <c r="C116" s="2"/>
      <c r="D116" s="2"/>
      <c r="E116" s="2"/>
      <c r="F116" s="2"/>
      <c r="G116" s="2"/>
      <c r="H116" s="2"/>
      <c r="I116" s="2"/>
      <c r="J116" s="2"/>
      <c r="K116" s="2"/>
      <c r="L116" s="2"/>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7E9C3"/>
    <pageSetUpPr fitToPage="1"/>
  </sheetPr>
  <dimension ref="A1:O132"/>
  <sheetViews>
    <sheetView showGridLines="0" zoomScale="70" zoomScaleNormal="70" workbookViewId="0">
      <pane xSplit="1" ySplit="5" topLeftCell="B178" activePane="bottomRight" state="frozen"/>
      <selection pane="topRight" activeCell="C1" sqref="C1"/>
      <selection pane="bottomLeft" activeCell="A6" sqref="A6"/>
      <selection pane="bottomRight" activeCell="B32" sqref="B32"/>
    </sheetView>
  </sheetViews>
  <sheetFormatPr defaultColWidth="9.109375" defaultRowHeight="17.399999999999999" x14ac:dyDescent="0.3"/>
  <cols>
    <col min="1" max="1" width="51.88671875" style="259" customWidth="1"/>
    <col min="2" max="4" width="13" style="259" bestFit="1" customWidth="1"/>
    <col min="5" max="6" width="14.21875" style="259" customWidth="1"/>
    <col min="7" max="7" width="15.33203125" style="259" customWidth="1"/>
    <col min="8" max="8" width="14.6640625" style="259" customWidth="1"/>
    <col min="9" max="9" width="17" style="259" customWidth="1"/>
    <col min="10" max="10" width="17.21875" style="259" customWidth="1"/>
    <col min="11" max="11" width="14.44140625" style="259" customWidth="1"/>
    <col min="12" max="12" width="16.21875" style="259" customWidth="1"/>
    <col min="13" max="13" width="1.88671875" style="259" customWidth="1"/>
    <col min="14" max="14" width="15.88671875" style="259" customWidth="1"/>
    <col min="15" max="24" width="9.5546875" style="259" customWidth="1"/>
    <col min="25" max="16384" width="9.109375" style="259"/>
  </cols>
  <sheetData>
    <row r="1" spans="1:15" s="252" customFormat="1" ht="50.4" customHeight="1" x14ac:dyDescent="0.25">
      <c r="A1" s="248" t="str">
        <f>Dashboard!A1</f>
        <v>[Britannia LTD.]</v>
      </c>
      <c r="B1" s="249"/>
      <c r="C1" s="249"/>
      <c r="D1" s="249"/>
      <c r="E1" s="249"/>
      <c r="F1" s="249"/>
      <c r="G1" s="249"/>
      <c r="H1" s="249"/>
      <c r="I1" s="249"/>
      <c r="J1" s="249"/>
      <c r="K1" s="249"/>
      <c r="L1" s="249"/>
      <c r="M1" s="250"/>
      <c r="N1" s="251"/>
    </row>
    <row r="2" spans="1:15" s="252" customFormat="1" ht="31.2" customHeight="1" x14ac:dyDescent="0.25">
      <c r="A2" s="253" t="s">
        <v>4</v>
      </c>
      <c r="B2" s="254"/>
      <c r="C2" s="254"/>
      <c r="D2" s="254"/>
      <c r="E2" s="254"/>
      <c r="F2" s="254"/>
      <c r="G2" s="254"/>
      <c r="H2" s="254"/>
      <c r="I2" s="254"/>
      <c r="J2" s="254"/>
      <c r="K2" s="254"/>
      <c r="L2" s="254"/>
      <c r="M2" s="250"/>
      <c r="N2" s="254"/>
    </row>
    <row r="3" spans="1:15" s="252" customFormat="1" ht="13.2" x14ac:dyDescent="0.25">
      <c r="A3" s="61" t="s">
        <v>262</v>
      </c>
      <c r="B3" s="255"/>
      <c r="C3" s="255"/>
      <c r="D3" s="255"/>
      <c r="E3" s="255"/>
      <c r="F3" s="255"/>
      <c r="G3" s="255"/>
      <c r="H3" s="255"/>
      <c r="I3" s="255"/>
      <c r="J3" s="255"/>
      <c r="K3" s="255"/>
      <c r="L3" s="255"/>
      <c r="M3" s="255"/>
      <c r="N3" s="255"/>
    </row>
    <row r="4" spans="1:15" s="252" customFormat="1" ht="13.2" x14ac:dyDescent="0.25">
      <c r="A4" s="256"/>
      <c r="B4" s="255"/>
      <c r="C4" s="255"/>
      <c r="D4" s="255"/>
      <c r="E4" s="255"/>
      <c r="F4" s="255"/>
      <c r="G4" s="255"/>
      <c r="H4" s="255"/>
      <c r="I4" s="255"/>
      <c r="J4" s="255"/>
      <c r="K4" s="255"/>
      <c r="L4" s="255"/>
      <c r="M4" s="255"/>
      <c r="N4" s="255"/>
    </row>
    <row r="5" spans="1:15" x14ac:dyDescent="0.3">
      <c r="A5" s="257" t="str">
        <f>Assumptions!A5</f>
        <v>Particular</v>
      </c>
      <c r="B5" s="257" t="str">
        <f>Assumptions!B5</f>
        <v>FY2019 A</v>
      </c>
      <c r="C5" s="257" t="str">
        <f>Assumptions!C5</f>
        <v>FY2020 A</v>
      </c>
      <c r="D5" s="257" t="str">
        <f>Assumptions!D5</f>
        <v>FY2021 A</v>
      </c>
      <c r="E5" s="257" t="str">
        <f>Assumptions!E5</f>
        <v>FY2022 E</v>
      </c>
      <c r="F5" s="257" t="str">
        <f>Assumptions!F5</f>
        <v>FY2023 E</v>
      </c>
      <c r="G5" s="257" t="str">
        <f>Assumptions!G5</f>
        <v>FY2024 E</v>
      </c>
      <c r="H5" s="257" t="str">
        <f>Assumptions!H5</f>
        <v>FY2025 E</v>
      </c>
      <c r="I5" s="257" t="str">
        <f>Assumptions!I5</f>
        <v>FY2026 E</v>
      </c>
      <c r="J5" s="257" t="str">
        <f>Assumptions!J5</f>
        <v>FY2027 E</v>
      </c>
      <c r="K5" s="257" t="str">
        <f>Assumptions!K5</f>
        <v>FY2028 E</v>
      </c>
      <c r="L5" s="257" t="str">
        <f>Assumptions!L5</f>
        <v>FY2029 E</v>
      </c>
      <c r="M5" s="258"/>
    </row>
    <row r="6" spans="1:15" x14ac:dyDescent="0.3">
      <c r="A6" s="260" t="s">
        <v>290</v>
      </c>
      <c r="B6" s="261"/>
      <c r="C6" s="262"/>
      <c r="D6" s="262"/>
      <c r="E6" s="261"/>
      <c r="F6" s="261"/>
      <c r="G6" s="261"/>
      <c r="H6" s="261"/>
      <c r="I6" s="261"/>
      <c r="J6" s="261"/>
      <c r="K6" s="261"/>
      <c r="L6" s="261"/>
    </row>
    <row r="7" spans="1:15" x14ac:dyDescent="0.3">
      <c r="A7" s="260"/>
      <c r="B7" s="261"/>
      <c r="C7" s="262"/>
      <c r="D7" s="262"/>
      <c r="E7" s="261"/>
      <c r="F7" s="261"/>
      <c r="G7" s="261"/>
      <c r="H7" s="261"/>
      <c r="I7" s="261"/>
      <c r="J7" s="261"/>
      <c r="K7" s="261"/>
      <c r="L7" s="261"/>
    </row>
    <row r="8" spans="1:15" x14ac:dyDescent="0.3">
      <c r="A8" s="180" t="s">
        <v>78</v>
      </c>
      <c r="B8" s="182">
        <v>60.32</v>
      </c>
      <c r="C8" s="182">
        <v>81.23</v>
      </c>
      <c r="D8" s="182">
        <v>142.74</v>
      </c>
      <c r="E8" s="351">
        <f>CFS!E71</f>
        <v>1480.3767970060408</v>
      </c>
      <c r="F8" s="351">
        <f>CFS!F71</f>
        <v>2931.1837034372902</v>
      </c>
      <c r="G8" s="351">
        <f>CFS!G71</f>
        <v>4469.8026531552114</v>
      </c>
      <c r="H8" s="351">
        <f>CFS!H71</f>
        <v>6149.6657661167555</v>
      </c>
      <c r="I8" s="351">
        <f>CFS!I71</f>
        <v>7972.5670258921036</v>
      </c>
      <c r="J8" s="351">
        <f>CFS!J71</f>
        <v>9942.2824757209346</v>
      </c>
      <c r="K8" s="351">
        <f>CFS!K71</f>
        <v>12082.6039572516</v>
      </c>
      <c r="L8" s="351">
        <f>CFS!L71</f>
        <v>14405.1290225749</v>
      </c>
    </row>
    <row r="9" spans="1:15" x14ac:dyDescent="0.3">
      <c r="A9" s="180" t="s">
        <v>79</v>
      </c>
      <c r="B9" s="182">
        <v>49.5</v>
      </c>
      <c r="C9" s="182">
        <v>41.62</v>
      </c>
      <c r="D9" s="182">
        <v>68.599999999999994</v>
      </c>
      <c r="E9" s="263">
        <v>68.599999999999994</v>
      </c>
      <c r="F9" s="263">
        <f t="shared" ref="F9:L9" si="0">E9</f>
        <v>68.599999999999994</v>
      </c>
      <c r="G9" s="263">
        <f t="shared" si="0"/>
        <v>68.599999999999994</v>
      </c>
      <c r="H9" s="263">
        <f t="shared" si="0"/>
        <v>68.599999999999994</v>
      </c>
      <c r="I9" s="263">
        <f t="shared" si="0"/>
        <v>68.599999999999994</v>
      </c>
      <c r="J9" s="263">
        <f t="shared" si="0"/>
        <v>68.599999999999994</v>
      </c>
      <c r="K9" s="263">
        <f t="shared" si="0"/>
        <v>68.599999999999994</v>
      </c>
      <c r="L9" s="263">
        <f t="shared" si="0"/>
        <v>68.599999999999994</v>
      </c>
    </row>
    <row r="10" spans="1:15" x14ac:dyDescent="0.3">
      <c r="A10" s="180" t="s">
        <v>40</v>
      </c>
      <c r="B10" s="182">
        <v>749.88</v>
      </c>
      <c r="C10" s="182">
        <v>1008.77</v>
      </c>
      <c r="D10" s="182">
        <v>1393.25</v>
      </c>
      <c r="E10" s="263">
        <f>D10</f>
        <v>1393.25</v>
      </c>
      <c r="F10" s="263">
        <f t="shared" ref="F10:L10" si="1">E10</f>
        <v>1393.25</v>
      </c>
      <c r="G10" s="263">
        <f t="shared" si="1"/>
        <v>1393.25</v>
      </c>
      <c r="H10" s="263">
        <f t="shared" si="1"/>
        <v>1393.25</v>
      </c>
      <c r="I10" s="263">
        <f t="shared" si="1"/>
        <v>1393.25</v>
      </c>
      <c r="J10" s="263">
        <f t="shared" si="1"/>
        <v>1393.25</v>
      </c>
      <c r="K10" s="263">
        <f t="shared" si="1"/>
        <v>1393.25</v>
      </c>
      <c r="L10" s="263">
        <f t="shared" si="1"/>
        <v>1393.25</v>
      </c>
    </row>
    <row r="11" spans="1:15" x14ac:dyDescent="0.3">
      <c r="A11" s="180" t="s">
        <v>261</v>
      </c>
      <c r="B11" s="182">
        <v>394.24</v>
      </c>
      <c r="C11" s="182">
        <v>320.36</v>
      </c>
      <c r="D11" s="182">
        <v>257.27</v>
      </c>
      <c r="E11" s="263">
        <f>'Income Statement'!E8/Assumptions!E18</f>
        <v>372.53419528707866</v>
      </c>
      <c r="F11" s="263">
        <f>'Income Statement'!F8/Assumptions!F18</f>
        <v>372.47915148601635</v>
      </c>
      <c r="G11" s="263">
        <f>'Income Statement'!G8/Assumptions!G18</f>
        <v>388.40842745179464</v>
      </c>
      <c r="H11" s="263">
        <f>'Income Statement'!H8/Assumptions!H18</f>
        <v>448.13022707897863</v>
      </c>
      <c r="I11" s="263">
        <f>'Income Statement'!I8/Assumptions!I18</f>
        <v>477.14996855224751</v>
      </c>
      <c r="J11" s="263">
        <f>'Income Statement'!J8/Assumptions!J18</f>
        <v>518.22366191690628</v>
      </c>
      <c r="K11" s="263">
        <f>'Income Statement'!K8/Assumptions!K18</f>
        <v>570.62047064077035</v>
      </c>
      <c r="L11" s="263">
        <f>'Income Statement'!L8/Assumptions!L18</f>
        <v>618.5227356819579</v>
      </c>
      <c r="O11" s="264"/>
    </row>
    <row r="12" spans="1:15" x14ac:dyDescent="0.3">
      <c r="A12" s="180" t="s">
        <v>1</v>
      </c>
      <c r="B12" s="182">
        <v>781.38</v>
      </c>
      <c r="C12" s="182">
        <v>740.96</v>
      </c>
      <c r="D12" s="182">
        <v>1091.49</v>
      </c>
      <c r="E12" s="263">
        <f>'Income Statement'!E13/Assumptions!E19 * -1</f>
        <v>1025.4540174056808</v>
      </c>
      <c r="F12" s="263">
        <f>'Income Statement'!F13/Assumptions!F19 * -1</f>
        <v>1122.7093393319758</v>
      </c>
      <c r="G12" s="263">
        <f>'Income Statement'!G13/Assumptions!G19 * -1</f>
        <v>1278.4474568741596</v>
      </c>
      <c r="H12" s="263">
        <f>'Income Statement'!H13/Assumptions!H19 * -1</f>
        <v>1351.0844274750978</v>
      </c>
      <c r="I12" s="263">
        <f>'Income Statement'!I13/Assumptions!I19 * -1</f>
        <v>1481.2981872097509</v>
      </c>
      <c r="J12" s="263">
        <f>'Income Statement'!J13/Assumptions!J19 * -1</f>
        <v>1624.830013531094</v>
      </c>
      <c r="K12" s="263">
        <f>'Income Statement'!K13/Assumptions!K19 * -1</f>
        <v>1760.1810318915586</v>
      </c>
      <c r="L12" s="263">
        <f>'Income Statement'!L13/Assumptions!L19 * -1</f>
        <v>1922.4423391924865</v>
      </c>
    </row>
    <row r="13" spans="1:15" s="264" customFormat="1" x14ac:dyDescent="0.3">
      <c r="A13" s="180" t="s">
        <v>80</v>
      </c>
      <c r="B13" s="182">
        <v>1203.92</v>
      </c>
      <c r="C13" s="182">
        <v>1110.1099999999999</v>
      </c>
      <c r="D13" s="182">
        <v>946.56</v>
      </c>
      <c r="E13" s="263">
        <f>D13</f>
        <v>946.56</v>
      </c>
      <c r="F13" s="263">
        <f t="shared" ref="F13:L13" si="2">E13</f>
        <v>946.56</v>
      </c>
      <c r="G13" s="263">
        <f t="shared" si="2"/>
        <v>946.56</v>
      </c>
      <c r="H13" s="263">
        <f t="shared" si="2"/>
        <v>946.56</v>
      </c>
      <c r="I13" s="263">
        <f t="shared" si="2"/>
        <v>946.56</v>
      </c>
      <c r="J13" s="263">
        <f t="shared" si="2"/>
        <v>946.56</v>
      </c>
      <c r="K13" s="263">
        <f t="shared" si="2"/>
        <v>946.56</v>
      </c>
      <c r="L13" s="263">
        <f t="shared" si="2"/>
        <v>946.56</v>
      </c>
      <c r="M13" s="259"/>
      <c r="N13" s="259"/>
    </row>
    <row r="14" spans="1:15" s="264" customFormat="1" x14ac:dyDescent="0.3">
      <c r="A14" s="180" t="s">
        <v>256</v>
      </c>
      <c r="B14" s="182">
        <v>160.81</v>
      </c>
      <c r="C14" s="182">
        <v>142.16999999999999</v>
      </c>
      <c r="D14" s="182">
        <v>397.76</v>
      </c>
      <c r="E14" s="263">
        <f>D14</f>
        <v>397.76</v>
      </c>
      <c r="F14" s="263">
        <f t="shared" ref="F14:L14" si="3">E14</f>
        <v>397.76</v>
      </c>
      <c r="G14" s="263">
        <f t="shared" si="3"/>
        <v>397.76</v>
      </c>
      <c r="H14" s="263">
        <f t="shared" si="3"/>
        <v>397.76</v>
      </c>
      <c r="I14" s="263">
        <f t="shared" si="3"/>
        <v>397.76</v>
      </c>
      <c r="J14" s="263">
        <f t="shared" si="3"/>
        <v>397.76</v>
      </c>
      <c r="K14" s="263">
        <f t="shared" si="3"/>
        <v>397.76</v>
      </c>
      <c r="L14" s="263">
        <f t="shared" si="3"/>
        <v>397.76</v>
      </c>
      <c r="M14" s="259"/>
      <c r="N14" s="259"/>
    </row>
    <row r="15" spans="1:15" s="264" customFormat="1" x14ac:dyDescent="0.3">
      <c r="A15" s="180" t="s">
        <v>317</v>
      </c>
      <c r="B15" s="182">
        <v>126.29</v>
      </c>
      <c r="C15" s="182">
        <v>229.75</v>
      </c>
      <c r="D15" s="182">
        <v>122.01</v>
      </c>
      <c r="E15" s="263">
        <f>D15</f>
        <v>122.01</v>
      </c>
      <c r="F15" s="263">
        <f t="shared" ref="F15:L15" si="4">E15</f>
        <v>122.01</v>
      </c>
      <c r="G15" s="263">
        <f t="shared" si="4"/>
        <v>122.01</v>
      </c>
      <c r="H15" s="263">
        <f t="shared" si="4"/>
        <v>122.01</v>
      </c>
      <c r="I15" s="263">
        <f t="shared" si="4"/>
        <v>122.01</v>
      </c>
      <c r="J15" s="263">
        <f t="shared" si="4"/>
        <v>122.01</v>
      </c>
      <c r="K15" s="263">
        <f t="shared" si="4"/>
        <v>122.01</v>
      </c>
      <c r="L15" s="263">
        <f t="shared" si="4"/>
        <v>122.01</v>
      </c>
      <c r="M15" s="259"/>
      <c r="N15" s="259"/>
    </row>
    <row r="16" spans="1:15" s="264" customFormat="1" x14ac:dyDescent="0.3">
      <c r="A16" s="180" t="s">
        <v>294</v>
      </c>
      <c r="B16" s="182">
        <v>0</v>
      </c>
      <c r="C16" s="182">
        <v>0</v>
      </c>
      <c r="D16" s="182">
        <v>0</v>
      </c>
      <c r="E16" s="263">
        <v>0</v>
      </c>
      <c r="F16" s="263">
        <v>0</v>
      </c>
      <c r="G16" s="263">
        <v>0</v>
      </c>
      <c r="H16" s="263">
        <v>0</v>
      </c>
      <c r="I16" s="263">
        <v>0</v>
      </c>
      <c r="J16" s="263">
        <v>0</v>
      </c>
      <c r="K16" s="263">
        <v>0</v>
      </c>
      <c r="L16" s="263">
        <v>0</v>
      </c>
      <c r="M16" s="259"/>
      <c r="N16" s="259"/>
    </row>
    <row r="17" spans="1:13" x14ac:dyDescent="0.3">
      <c r="A17" s="180" t="s">
        <v>291</v>
      </c>
      <c r="B17" s="182">
        <v>0</v>
      </c>
      <c r="C17" s="182">
        <v>0</v>
      </c>
      <c r="D17" s="182">
        <v>0</v>
      </c>
      <c r="E17" s="263">
        <v>0</v>
      </c>
      <c r="F17" s="263">
        <v>0</v>
      </c>
      <c r="G17" s="263">
        <v>0</v>
      </c>
      <c r="H17" s="263">
        <v>0</v>
      </c>
      <c r="I17" s="263">
        <v>0</v>
      </c>
      <c r="J17" s="263">
        <v>0</v>
      </c>
      <c r="K17" s="263">
        <v>0</v>
      </c>
      <c r="L17" s="263">
        <v>0</v>
      </c>
    </row>
    <row r="18" spans="1:13" x14ac:dyDescent="0.3">
      <c r="A18" s="180" t="s">
        <v>81</v>
      </c>
      <c r="B18" s="245">
        <f>SUM(B8:B17)</f>
        <v>3526.34</v>
      </c>
      <c r="C18" s="245">
        <f t="shared" ref="C18:L18" si="5">SUM(C8:C17)</f>
        <v>3674.9700000000003</v>
      </c>
      <c r="D18" s="245">
        <f t="shared" si="5"/>
        <v>4419.68</v>
      </c>
      <c r="E18" s="263">
        <f t="shared" si="5"/>
        <v>5806.5450096988006</v>
      </c>
      <c r="F18" s="263">
        <f t="shared" si="5"/>
        <v>7354.5521942552823</v>
      </c>
      <c r="G18" s="263">
        <f t="shared" si="5"/>
        <v>9064.838537481166</v>
      </c>
      <c r="H18" s="263">
        <f t="shared" si="5"/>
        <v>10877.060420670832</v>
      </c>
      <c r="I18" s="263">
        <f t="shared" si="5"/>
        <v>12859.195181654102</v>
      </c>
      <c r="J18" s="263">
        <f t="shared" si="5"/>
        <v>15013.516151168937</v>
      </c>
      <c r="K18" s="263">
        <f t="shared" si="5"/>
        <v>17341.585459783928</v>
      </c>
      <c r="L18" s="263">
        <f t="shared" si="5"/>
        <v>19874.274097449343</v>
      </c>
      <c r="M18" s="266"/>
    </row>
    <row r="19" spans="1:13" x14ac:dyDescent="0.3">
      <c r="A19" s="247"/>
      <c r="B19" s="265"/>
      <c r="C19" s="265"/>
      <c r="D19" s="265"/>
      <c r="E19" s="265"/>
      <c r="F19" s="265"/>
      <c r="G19" s="265"/>
      <c r="H19" s="265"/>
      <c r="I19" s="265"/>
      <c r="J19" s="265"/>
      <c r="K19" s="265"/>
      <c r="L19" s="265"/>
      <c r="M19" s="266"/>
    </row>
    <row r="20" spans="1:13" x14ac:dyDescent="0.3">
      <c r="A20" s="180" t="s">
        <v>105</v>
      </c>
      <c r="B20" s="182">
        <v>1535.58</v>
      </c>
      <c r="C20" s="182">
        <v>1716.37</v>
      </c>
      <c r="D20" s="182">
        <v>1634.3</v>
      </c>
      <c r="E20" s="263">
        <f>Assumptions!E47</f>
        <v>1606.674423820798</v>
      </c>
      <c r="F20" s="263">
        <f>Assumptions!F47</f>
        <v>1598.0740577118286</v>
      </c>
      <c r="G20" s="263">
        <f>Assumptions!G47</f>
        <v>1591.6287900803798</v>
      </c>
      <c r="H20" s="263">
        <f>Assumptions!H47</f>
        <v>1578.5750916972418</v>
      </c>
      <c r="I20" s="263">
        <f>Assumptions!I47</f>
        <v>1572.3438501944311</v>
      </c>
      <c r="J20" s="263">
        <f>Assumptions!J47</f>
        <v>1566.9132175411246</v>
      </c>
      <c r="K20" s="263">
        <f>Assumptions!K47</f>
        <v>1561.652231847655</v>
      </c>
      <c r="L20" s="263">
        <f>Assumptions!L47</f>
        <v>1559.7149596300887</v>
      </c>
    </row>
    <row r="21" spans="1:13" x14ac:dyDescent="0.3">
      <c r="A21" s="180" t="s">
        <v>82</v>
      </c>
      <c r="B21" s="182">
        <v>7.62</v>
      </c>
      <c r="C21" s="182">
        <v>8.3699999999999992</v>
      </c>
      <c r="D21" s="182">
        <v>8.5399999999999991</v>
      </c>
      <c r="E21" s="263">
        <f>Assumptions!E62</f>
        <v>155.43748825835311</v>
      </c>
      <c r="F21" s="263">
        <f>Assumptions!F62</f>
        <v>168.59861697971849</v>
      </c>
      <c r="G21" s="263">
        <f>Assumptions!G62</f>
        <v>182.61828928521356</v>
      </c>
      <c r="H21" s="263">
        <f>Assumptions!H62</f>
        <v>197.65332486289606</v>
      </c>
      <c r="I21" s="263">
        <f>Assumptions!I62</f>
        <v>214.33366246492909</v>
      </c>
      <c r="J21" s="263">
        <f>Assumptions!J62</f>
        <v>232.38406175511668</v>
      </c>
      <c r="K21" s="263">
        <f>Assumptions!K62</f>
        <v>252.0219707565459</v>
      </c>
      <c r="L21" s="263">
        <f>Assumptions!L62</f>
        <v>273.48993070438149</v>
      </c>
    </row>
    <row r="22" spans="1:13" x14ac:dyDescent="0.3">
      <c r="A22" s="180" t="s">
        <v>83</v>
      </c>
      <c r="B22" s="182">
        <v>101.24</v>
      </c>
      <c r="C22" s="182">
        <v>39.549999999999997</v>
      </c>
      <c r="D22" s="182">
        <v>116.52</v>
      </c>
      <c r="E22" s="263">
        <f>D22</f>
        <v>116.52</v>
      </c>
      <c r="F22" s="263">
        <f t="shared" ref="F22:L22" si="6">E22</f>
        <v>116.52</v>
      </c>
      <c r="G22" s="263">
        <f t="shared" si="6"/>
        <v>116.52</v>
      </c>
      <c r="H22" s="263">
        <f t="shared" si="6"/>
        <v>116.52</v>
      </c>
      <c r="I22" s="263">
        <f t="shared" si="6"/>
        <v>116.52</v>
      </c>
      <c r="J22" s="263">
        <f t="shared" si="6"/>
        <v>116.52</v>
      </c>
      <c r="K22" s="263">
        <f t="shared" si="6"/>
        <v>116.52</v>
      </c>
      <c r="L22" s="263">
        <f t="shared" si="6"/>
        <v>116.52</v>
      </c>
    </row>
    <row r="23" spans="1:13" x14ac:dyDescent="0.3">
      <c r="A23" s="180" t="s">
        <v>292</v>
      </c>
      <c r="B23" s="182">
        <v>14.73</v>
      </c>
      <c r="C23" s="182">
        <v>14.47</v>
      </c>
      <c r="D23" s="182">
        <v>14.21</v>
      </c>
      <c r="E23" s="263">
        <f>D23</f>
        <v>14.21</v>
      </c>
      <c r="F23" s="263">
        <f t="shared" ref="F23:L23" si="7">E23</f>
        <v>14.21</v>
      </c>
      <c r="G23" s="263">
        <f t="shared" si="7"/>
        <v>14.21</v>
      </c>
      <c r="H23" s="263">
        <f t="shared" si="7"/>
        <v>14.21</v>
      </c>
      <c r="I23" s="263">
        <f t="shared" si="7"/>
        <v>14.21</v>
      </c>
      <c r="J23" s="263">
        <f t="shared" si="7"/>
        <v>14.21</v>
      </c>
      <c r="K23" s="263">
        <f t="shared" si="7"/>
        <v>14.21</v>
      </c>
      <c r="L23" s="263">
        <f t="shared" si="7"/>
        <v>14.21</v>
      </c>
    </row>
    <row r="24" spans="1:13" x14ac:dyDescent="0.3">
      <c r="A24" s="180" t="s">
        <v>358</v>
      </c>
      <c r="B24" s="182">
        <v>130.37</v>
      </c>
      <c r="C24" s="182">
        <v>138.97</v>
      </c>
      <c r="D24" s="182">
        <v>135.9</v>
      </c>
      <c r="E24" s="263">
        <v>0</v>
      </c>
      <c r="F24" s="263">
        <v>0</v>
      </c>
      <c r="G24" s="263">
        <v>0</v>
      </c>
      <c r="H24" s="263">
        <v>0</v>
      </c>
      <c r="I24" s="263">
        <v>0</v>
      </c>
      <c r="J24" s="263">
        <v>0</v>
      </c>
      <c r="K24" s="263">
        <v>0</v>
      </c>
      <c r="L24" s="263">
        <v>0</v>
      </c>
    </row>
    <row r="25" spans="1:13" x14ac:dyDescent="0.3">
      <c r="A25" s="180" t="s">
        <v>84</v>
      </c>
      <c r="B25" s="182">
        <v>725.36</v>
      </c>
      <c r="C25" s="182">
        <v>1882.98</v>
      </c>
      <c r="D25" s="182">
        <v>1385.15</v>
      </c>
      <c r="E25" s="263">
        <f t="shared" ref="E25:E30" si="8">D25</f>
        <v>1385.15</v>
      </c>
      <c r="F25" s="263">
        <f t="shared" ref="F25:L25" si="9">E25</f>
        <v>1385.15</v>
      </c>
      <c r="G25" s="263">
        <f t="shared" si="9"/>
        <v>1385.15</v>
      </c>
      <c r="H25" s="263">
        <f t="shared" si="9"/>
        <v>1385.15</v>
      </c>
      <c r="I25" s="263">
        <f t="shared" si="9"/>
        <v>1385.15</v>
      </c>
      <c r="J25" s="263">
        <f t="shared" si="9"/>
        <v>1385.15</v>
      </c>
      <c r="K25" s="263">
        <f t="shared" si="9"/>
        <v>1385.15</v>
      </c>
      <c r="L25" s="263">
        <f t="shared" si="9"/>
        <v>1385.15</v>
      </c>
    </row>
    <row r="26" spans="1:13" x14ac:dyDescent="0.3">
      <c r="A26" s="180" t="s">
        <v>85</v>
      </c>
      <c r="B26" s="182">
        <v>13.75</v>
      </c>
      <c r="C26" s="182">
        <v>19.559999999999999</v>
      </c>
      <c r="D26" s="182">
        <f>9.66+71.84</f>
        <v>81.5</v>
      </c>
      <c r="E26" s="263">
        <f t="shared" si="8"/>
        <v>81.5</v>
      </c>
      <c r="F26" s="263">
        <f t="shared" ref="F26:L27" si="10">E26</f>
        <v>81.5</v>
      </c>
      <c r="G26" s="263">
        <f t="shared" si="10"/>
        <v>81.5</v>
      </c>
      <c r="H26" s="263">
        <f t="shared" si="10"/>
        <v>81.5</v>
      </c>
      <c r="I26" s="263">
        <f t="shared" si="10"/>
        <v>81.5</v>
      </c>
      <c r="J26" s="263">
        <f t="shared" si="10"/>
        <v>81.5</v>
      </c>
      <c r="K26" s="263">
        <f t="shared" si="10"/>
        <v>81.5</v>
      </c>
      <c r="L26" s="263">
        <f t="shared" si="10"/>
        <v>81.5</v>
      </c>
    </row>
    <row r="27" spans="1:13" x14ac:dyDescent="0.3">
      <c r="A27" s="180" t="s">
        <v>86</v>
      </c>
      <c r="B27" s="182">
        <v>19.02</v>
      </c>
      <c r="C27" s="182">
        <v>202.95</v>
      </c>
      <c r="D27" s="182">
        <v>74.58</v>
      </c>
      <c r="E27" s="263">
        <f t="shared" si="8"/>
        <v>74.58</v>
      </c>
      <c r="F27" s="263">
        <f t="shared" si="10"/>
        <v>74.58</v>
      </c>
      <c r="G27" s="263">
        <f t="shared" si="10"/>
        <v>74.58</v>
      </c>
      <c r="H27" s="263">
        <f t="shared" si="10"/>
        <v>74.58</v>
      </c>
      <c r="I27" s="263">
        <f t="shared" si="10"/>
        <v>74.58</v>
      </c>
      <c r="J27" s="263">
        <f t="shared" si="10"/>
        <v>74.58</v>
      </c>
      <c r="K27" s="263">
        <f t="shared" si="10"/>
        <v>74.58</v>
      </c>
      <c r="L27" s="263">
        <f t="shared" si="10"/>
        <v>74.58</v>
      </c>
    </row>
    <row r="28" spans="1:13" x14ac:dyDescent="0.3">
      <c r="A28" s="180" t="s">
        <v>318</v>
      </c>
      <c r="B28" s="182">
        <v>1.04</v>
      </c>
      <c r="C28" s="182">
        <v>1.48</v>
      </c>
      <c r="D28" s="182">
        <v>2.29</v>
      </c>
      <c r="E28" s="267">
        <f t="shared" si="8"/>
        <v>2.29</v>
      </c>
      <c r="F28" s="267">
        <f t="shared" ref="F28:L28" si="11">E28</f>
        <v>2.29</v>
      </c>
      <c r="G28" s="267">
        <f t="shared" si="11"/>
        <v>2.29</v>
      </c>
      <c r="H28" s="267">
        <f t="shared" si="11"/>
        <v>2.29</v>
      </c>
      <c r="I28" s="267">
        <f t="shared" si="11"/>
        <v>2.29</v>
      </c>
      <c r="J28" s="267">
        <f t="shared" si="11"/>
        <v>2.29</v>
      </c>
      <c r="K28" s="267">
        <f t="shared" si="11"/>
        <v>2.29</v>
      </c>
      <c r="L28" s="267">
        <f t="shared" si="11"/>
        <v>2.29</v>
      </c>
    </row>
    <row r="29" spans="1:13" x14ac:dyDescent="0.3">
      <c r="A29" s="180" t="s">
        <v>317</v>
      </c>
      <c r="B29" s="182">
        <v>28.67</v>
      </c>
      <c r="C29" s="182">
        <v>31.33</v>
      </c>
      <c r="D29" s="182">
        <v>30.13</v>
      </c>
      <c r="E29" s="265">
        <f t="shared" si="8"/>
        <v>30.13</v>
      </c>
      <c r="F29" s="265">
        <f t="shared" ref="F29:L29" si="12">E29</f>
        <v>30.13</v>
      </c>
      <c r="G29" s="265">
        <f t="shared" si="12"/>
        <v>30.13</v>
      </c>
      <c r="H29" s="265">
        <f t="shared" si="12"/>
        <v>30.13</v>
      </c>
      <c r="I29" s="265">
        <f t="shared" si="12"/>
        <v>30.13</v>
      </c>
      <c r="J29" s="265">
        <f t="shared" si="12"/>
        <v>30.13</v>
      </c>
      <c r="K29" s="265">
        <f t="shared" si="12"/>
        <v>30.13</v>
      </c>
      <c r="L29" s="265">
        <f t="shared" si="12"/>
        <v>30.13</v>
      </c>
      <c r="M29" s="268"/>
    </row>
    <row r="30" spans="1:13" x14ac:dyDescent="0.3">
      <c r="A30" s="180" t="s">
        <v>319</v>
      </c>
      <c r="B30" s="182">
        <f>37.02+101.08</f>
        <v>138.1</v>
      </c>
      <c r="C30" s="182">
        <f>68.77+42.46</f>
        <v>111.22999999999999</v>
      </c>
      <c r="D30" s="182">
        <v>105.98</v>
      </c>
      <c r="E30" s="261">
        <f t="shared" si="8"/>
        <v>105.98</v>
      </c>
      <c r="F30" s="261">
        <f t="shared" ref="F30:L30" si="13">E30</f>
        <v>105.98</v>
      </c>
      <c r="G30" s="261">
        <f t="shared" si="13"/>
        <v>105.98</v>
      </c>
      <c r="H30" s="261">
        <f t="shared" si="13"/>
        <v>105.98</v>
      </c>
      <c r="I30" s="261">
        <f t="shared" si="13"/>
        <v>105.98</v>
      </c>
      <c r="J30" s="261">
        <f t="shared" si="13"/>
        <v>105.98</v>
      </c>
      <c r="K30" s="261">
        <f t="shared" si="13"/>
        <v>105.98</v>
      </c>
      <c r="L30" s="261">
        <f t="shared" si="13"/>
        <v>105.98</v>
      </c>
    </row>
    <row r="31" spans="1:13" x14ac:dyDescent="0.3">
      <c r="A31" s="180" t="s">
        <v>293</v>
      </c>
      <c r="B31" s="182">
        <v>0</v>
      </c>
      <c r="C31" s="182">
        <v>0</v>
      </c>
      <c r="D31" s="182">
        <v>0</v>
      </c>
      <c r="E31" s="261"/>
      <c r="F31" s="261"/>
      <c r="G31" s="261"/>
      <c r="H31" s="261"/>
      <c r="I31" s="261"/>
      <c r="J31" s="261"/>
      <c r="K31" s="261"/>
      <c r="L31" s="261"/>
    </row>
    <row r="32" spans="1:13" x14ac:dyDescent="0.3">
      <c r="A32" s="181" t="s">
        <v>288</v>
      </c>
      <c r="B32" s="246">
        <f>SUM(B20:B31)</f>
        <v>2715.48</v>
      </c>
      <c r="C32" s="246">
        <f t="shared" ref="C32:D32" si="14">SUM(C20:C31)</f>
        <v>4167.2599999999993</v>
      </c>
      <c r="D32" s="246">
        <f t="shared" si="14"/>
        <v>3589.1</v>
      </c>
      <c r="E32" s="261">
        <f t="shared" ref="E32:L32" si="15">SUM(E20:E31)</f>
        <v>3572.471912079151</v>
      </c>
      <c r="F32" s="261">
        <f t="shared" si="15"/>
        <v>3577.0326746915471</v>
      </c>
      <c r="G32" s="261">
        <f t="shared" si="15"/>
        <v>3584.6070793655936</v>
      </c>
      <c r="H32" s="261">
        <f t="shared" si="15"/>
        <v>3586.5884165601378</v>
      </c>
      <c r="I32" s="261">
        <f t="shared" si="15"/>
        <v>3597.0375126593603</v>
      </c>
      <c r="J32" s="261">
        <f t="shared" si="15"/>
        <v>3609.6572792962411</v>
      </c>
      <c r="K32" s="261">
        <f t="shared" si="15"/>
        <v>3624.0342026042013</v>
      </c>
      <c r="L32" s="261">
        <f t="shared" si="15"/>
        <v>3643.5648903344704</v>
      </c>
    </row>
    <row r="33" spans="1:14" x14ac:dyDescent="0.3">
      <c r="A33" s="181" t="s">
        <v>87</v>
      </c>
      <c r="B33" s="246">
        <f>B18+B32</f>
        <v>6241.82</v>
      </c>
      <c r="C33" s="246">
        <f t="shared" ref="C33:D33" si="16">C18+C32</f>
        <v>7842.23</v>
      </c>
      <c r="D33" s="246">
        <f t="shared" si="16"/>
        <v>8008.7800000000007</v>
      </c>
      <c r="E33" s="261">
        <f t="shared" ref="E33:L33" si="17">E18+E32</f>
        <v>9379.0169217779512</v>
      </c>
      <c r="F33" s="261">
        <f t="shared" si="17"/>
        <v>10931.584868946829</v>
      </c>
      <c r="G33" s="261">
        <f t="shared" si="17"/>
        <v>12649.445616846759</v>
      </c>
      <c r="H33" s="261">
        <f t="shared" si="17"/>
        <v>14463.64883723097</v>
      </c>
      <c r="I33" s="261">
        <f t="shared" si="17"/>
        <v>16456.232694313461</v>
      </c>
      <c r="J33" s="261">
        <f t="shared" si="17"/>
        <v>18623.173430465176</v>
      </c>
      <c r="K33" s="261">
        <f t="shared" si="17"/>
        <v>20965.61966238813</v>
      </c>
      <c r="L33" s="261">
        <f t="shared" si="17"/>
        <v>23517.838987783813</v>
      </c>
    </row>
    <row r="34" spans="1:14" x14ac:dyDescent="0.3">
      <c r="A34" s="180"/>
      <c r="B34" s="269"/>
      <c r="C34" s="269"/>
      <c r="D34" s="269"/>
      <c r="E34" s="261"/>
      <c r="F34" s="261"/>
      <c r="G34" s="261"/>
      <c r="H34" s="261"/>
      <c r="I34" s="261"/>
      <c r="J34" s="261"/>
      <c r="K34" s="261"/>
      <c r="L34" s="261"/>
    </row>
    <row r="35" spans="1:14" x14ac:dyDescent="0.3">
      <c r="A35" s="181" t="s">
        <v>104</v>
      </c>
      <c r="B35" s="270"/>
      <c r="C35" s="270"/>
      <c r="D35" s="270"/>
      <c r="E35" s="270"/>
      <c r="F35" s="270"/>
      <c r="G35" s="270"/>
      <c r="H35" s="270"/>
      <c r="I35" s="270"/>
      <c r="J35" s="270"/>
      <c r="K35" s="270"/>
      <c r="L35" s="270"/>
      <c r="M35" s="264"/>
      <c r="N35" s="264"/>
    </row>
    <row r="36" spans="1:14" x14ac:dyDescent="0.3">
      <c r="A36" s="247"/>
      <c r="B36" s="270"/>
      <c r="C36" s="270"/>
      <c r="D36" s="270"/>
      <c r="E36" s="270"/>
      <c r="F36" s="270"/>
      <c r="G36" s="270"/>
      <c r="H36" s="270"/>
      <c r="I36" s="270"/>
      <c r="J36" s="270"/>
      <c r="K36" s="270"/>
      <c r="L36" s="270"/>
      <c r="M36" s="264"/>
      <c r="N36" s="264"/>
    </row>
    <row r="37" spans="1:14" x14ac:dyDescent="0.3">
      <c r="A37" s="180" t="s">
        <v>88</v>
      </c>
      <c r="B37" s="182">
        <f>1.78+1138.73</f>
        <v>1140.51</v>
      </c>
      <c r="C37" s="182">
        <f>8.53+1107.75</f>
        <v>1116.28</v>
      </c>
      <c r="D37" s="182">
        <f>28.44+1286.31</f>
        <v>1314.75</v>
      </c>
      <c r="E37" s="263">
        <f>'Income Statement'!E13/Assumptions!E20 * -1</f>
        <v>1428.1486539488681</v>
      </c>
      <c r="F37" s="263">
        <f>'Income Statement'!F13/Assumptions!F20 * -1</f>
        <v>1539.488264428272</v>
      </c>
      <c r="G37" s="263">
        <f>'Income Statement'!G13/Assumptions!G20 * -1</f>
        <v>1692.3744755355519</v>
      </c>
      <c r="H37" s="263">
        <f>'Income Statement'!H13/Assumptions!H20 * -1</f>
        <v>1841.0408237145125</v>
      </c>
      <c r="I37" s="263">
        <f>'Income Statement'!I13/Assumptions!I20 * -1</f>
        <v>2003.6711245428219</v>
      </c>
      <c r="J37" s="263">
        <f>'Income Statement'!J13/Assumptions!J20 * -1</f>
        <v>2187.6638959033339</v>
      </c>
      <c r="K37" s="263">
        <f>'Income Statement'!K13/Assumptions!K20 * -1</f>
        <v>2383.1041916874083</v>
      </c>
      <c r="L37" s="263">
        <f>'Income Statement'!L13/Assumptions!L20 * -1</f>
        <v>2597.1847953913202</v>
      </c>
    </row>
    <row r="38" spans="1:14" x14ac:dyDescent="0.3">
      <c r="A38" s="180" t="s">
        <v>89</v>
      </c>
      <c r="B38" s="182">
        <v>76.099999999999994</v>
      </c>
      <c r="C38" s="182">
        <v>747.99</v>
      </c>
      <c r="D38" s="182">
        <v>1339.42</v>
      </c>
      <c r="E38" s="263">
        <f>D38</f>
        <v>1339.42</v>
      </c>
      <c r="F38" s="263">
        <f t="shared" ref="F38:L38" si="18">E38</f>
        <v>1339.42</v>
      </c>
      <c r="G38" s="263">
        <f t="shared" si="18"/>
        <v>1339.42</v>
      </c>
      <c r="H38" s="263">
        <f t="shared" si="18"/>
        <v>1339.42</v>
      </c>
      <c r="I38" s="263">
        <f t="shared" si="18"/>
        <v>1339.42</v>
      </c>
      <c r="J38" s="263">
        <f t="shared" si="18"/>
        <v>1339.42</v>
      </c>
      <c r="K38" s="263">
        <f t="shared" si="18"/>
        <v>1339.42</v>
      </c>
      <c r="L38" s="263">
        <f t="shared" si="18"/>
        <v>1339.42</v>
      </c>
    </row>
    <row r="39" spans="1:14" x14ac:dyDescent="0.3">
      <c r="A39" s="180" t="s">
        <v>90</v>
      </c>
      <c r="B39" s="182">
        <f>269.2+95.22</f>
        <v>364.41999999999996</v>
      </c>
      <c r="C39" s="182">
        <f>311.91+150.08</f>
        <v>461.99</v>
      </c>
      <c r="D39" s="182">
        <f>356.01+140.54</f>
        <v>496.54999999999995</v>
      </c>
      <c r="E39" s="263">
        <f>'Income Statement'!E13/Assumptions!E27 *-1</f>
        <v>524.48350273292829</v>
      </c>
      <c r="F39" s="263">
        <f>'Income Statement'!F13/Assumptions!F27 *-1</f>
        <v>593.83605551534629</v>
      </c>
      <c r="G39" s="263">
        <f>'Income Statement'!G13/Assumptions!G27 *-1</f>
        <v>637.61107740992429</v>
      </c>
      <c r="H39" s="263">
        <f>'Income Statement'!H13/Assumptions!H27 *-1</f>
        <v>693.07093166945913</v>
      </c>
      <c r="I39" s="263">
        <f>'Income Statement'!I13/Assumptions!I27 *-1</f>
        <v>760.63546448507145</v>
      </c>
      <c r="J39" s="263">
        <f>'Income Statement'!J13/Assumptions!J27 *-1</f>
        <v>826.07802917449226</v>
      </c>
      <c r="K39" s="263">
        <f>'Income Statement'!K13/Assumptions!K27 *-1</f>
        <v>900.55309768381551</v>
      </c>
      <c r="L39" s="263">
        <f>'Income Statement'!L13/Assumptions!L27 *-1</f>
        <v>982.70114301522256</v>
      </c>
    </row>
    <row r="40" spans="1:14" x14ac:dyDescent="0.3">
      <c r="A40" s="180" t="s">
        <v>91</v>
      </c>
      <c r="B40" s="182">
        <v>196.51</v>
      </c>
      <c r="C40" s="182">
        <v>191.26</v>
      </c>
      <c r="D40" s="182">
        <v>387.47</v>
      </c>
      <c r="E40" s="263">
        <f>D40</f>
        <v>387.47</v>
      </c>
      <c r="F40" s="263">
        <f t="shared" ref="F40:L40" si="19">E40</f>
        <v>387.47</v>
      </c>
      <c r="G40" s="263">
        <f t="shared" si="19"/>
        <v>387.47</v>
      </c>
      <c r="H40" s="263">
        <f t="shared" si="19"/>
        <v>387.47</v>
      </c>
      <c r="I40" s="263">
        <f t="shared" si="19"/>
        <v>387.47</v>
      </c>
      <c r="J40" s="263">
        <f t="shared" si="19"/>
        <v>387.47</v>
      </c>
      <c r="K40" s="263">
        <f t="shared" si="19"/>
        <v>387.47</v>
      </c>
      <c r="L40" s="263">
        <f t="shared" si="19"/>
        <v>387.47</v>
      </c>
    </row>
    <row r="41" spans="1:14" x14ac:dyDescent="0.3">
      <c r="A41" s="180" t="s">
        <v>320</v>
      </c>
      <c r="B41" s="182">
        <v>73.16</v>
      </c>
      <c r="C41" s="182">
        <v>47.78</v>
      </c>
      <c r="D41" s="182">
        <v>76.08</v>
      </c>
      <c r="E41" s="263">
        <f>D41</f>
        <v>76.08</v>
      </c>
      <c r="F41" s="263">
        <f t="shared" ref="F41:L41" si="20">E41</f>
        <v>76.08</v>
      </c>
      <c r="G41" s="263">
        <f t="shared" si="20"/>
        <v>76.08</v>
      </c>
      <c r="H41" s="263">
        <f t="shared" si="20"/>
        <v>76.08</v>
      </c>
      <c r="I41" s="263">
        <f t="shared" si="20"/>
        <v>76.08</v>
      </c>
      <c r="J41" s="263">
        <f t="shared" si="20"/>
        <v>76.08</v>
      </c>
      <c r="K41" s="263">
        <f t="shared" si="20"/>
        <v>76.08</v>
      </c>
      <c r="L41" s="263">
        <f t="shared" si="20"/>
        <v>76.08</v>
      </c>
    </row>
    <row r="42" spans="1:14" x14ac:dyDescent="0.3">
      <c r="A42" s="180" t="s">
        <v>321</v>
      </c>
      <c r="B42" s="182">
        <v>0.71</v>
      </c>
      <c r="C42" s="182">
        <v>0</v>
      </c>
      <c r="D42" s="182">
        <v>0</v>
      </c>
      <c r="E42" s="263">
        <f>D42</f>
        <v>0</v>
      </c>
      <c r="F42" s="263">
        <f t="shared" ref="F42:L42" si="21">E42</f>
        <v>0</v>
      </c>
      <c r="G42" s="263">
        <f t="shared" si="21"/>
        <v>0</v>
      </c>
      <c r="H42" s="263">
        <f t="shared" si="21"/>
        <v>0</v>
      </c>
      <c r="I42" s="263">
        <f t="shared" si="21"/>
        <v>0</v>
      </c>
      <c r="J42" s="263">
        <f t="shared" si="21"/>
        <v>0</v>
      </c>
      <c r="K42" s="263">
        <f t="shared" si="21"/>
        <v>0</v>
      </c>
      <c r="L42" s="263">
        <f t="shared" si="21"/>
        <v>0</v>
      </c>
    </row>
    <row r="43" spans="1:14" x14ac:dyDescent="0.3">
      <c r="A43" s="181" t="s">
        <v>92</v>
      </c>
      <c r="B43" s="245">
        <f>SUM(B37:B42)</f>
        <v>1851.4099999999999</v>
      </c>
      <c r="C43" s="245">
        <f t="shared" ref="C43:L43" si="22">SUM(C37:C42)</f>
        <v>2565.3000000000006</v>
      </c>
      <c r="D43" s="245">
        <f t="shared" si="22"/>
        <v>3614.2700000000004</v>
      </c>
      <c r="E43" s="263">
        <f t="shared" si="22"/>
        <v>3755.6021566817963</v>
      </c>
      <c r="F43" s="263">
        <f t="shared" si="22"/>
        <v>3936.2943199436186</v>
      </c>
      <c r="G43" s="263">
        <f t="shared" si="22"/>
        <v>4132.9555529454765</v>
      </c>
      <c r="H43" s="263">
        <f t="shared" si="22"/>
        <v>4337.0817553839715</v>
      </c>
      <c r="I43" s="263">
        <f t="shared" si="22"/>
        <v>4567.2765890278934</v>
      </c>
      <c r="J43" s="263">
        <f t="shared" si="22"/>
        <v>4816.711925077826</v>
      </c>
      <c r="K43" s="263">
        <f t="shared" si="22"/>
        <v>5086.6272893712239</v>
      </c>
      <c r="L43" s="263">
        <f t="shared" si="22"/>
        <v>5382.8559384065429</v>
      </c>
      <c r="M43" s="268"/>
    </row>
    <row r="44" spans="1:14" x14ac:dyDescent="0.3">
      <c r="A44" s="247"/>
      <c r="B44" s="263"/>
      <c r="C44" s="263"/>
      <c r="D44" s="263"/>
      <c r="E44" s="263"/>
      <c r="F44" s="263"/>
      <c r="G44" s="263"/>
      <c r="H44" s="263"/>
      <c r="I44" s="263"/>
      <c r="J44" s="263"/>
      <c r="K44" s="263"/>
      <c r="L44" s="263"/>
      <c r="M44" s="268"/>
    </row>
    <row r="45" spans="1:14" x14ac:dyDescent="0.3">
      <c r="A45" s="180" t="s">
        <v>93</v>
      </c>
      <c r="B45" s="182">
        <v>61.92</v>
      </c>
      <c r="C45" s="182">
        <v>766.06</v>
      </c>
      <c r="D45" s="182">
        <v>747.75</v>
      </c>
      <c r="E45" s="263">
        <f>D45</f>
        <v>747.75</v>
      </c>
      <c r="F45" s="263">
        <f t="shared" ref="F45:L45" si="23">E45</f>
        <v>747.75</v>
      </c>
      <c r="G45" s="263">
        <f t="shared" si="23"/>
        <v>747.75</v>
      </c>
      <c r="H45" s="263">
        <f t="shared" si="23"/>
        <v>747.75</v>
      </c>
      <c r="I45" s="263">
        <f t="shared" si="23"/>
        <v>747.75</v>
      </c>
      <c r="J45" s="263">
        <f t="shared" si="23"/>
        <v>747.75</v>
      </c>
      <c r="K45" s="263">
        <f t="shared" si="23"/>
        <v>747.75</v>
      </c>
      <c r="L45" s="263">
        <f t="shared" si="23"/>
        <v>747.75</v>
      </c>
    </row>
    <row r="46" spans="1:14" x14ac:dyDescent="0.3">
      <c r="A46" s="180" t="s">
        <v>94</v>
      </c>
      <c r="B46" s="182">
        <v>3.87</v>
      </c>
      <c r="C46" s="182">
        <v>12.69</v>
      </c>
      <c r="D46" s="182">
        <v>8.69</v>
      </c>
      <c r="E46" s="263">
        <f>D46</f>
        <v>8.69</v>
      </c>
      <c r="F46" s="263">
        <f t="shared" ref="F46:L46" si="24">E46</f>
        <v>8.69</v>
      </c>
      <c r="G46" s="263">
        <f t="shared" si="24"/>
        <v>8.69</v>
      </c>
      <c r="H46" s="263">
        <f t="shared" si="24"/>
        <v>8.69</v>
      </c>
      <c r="I46" s="263">
        <f t="shared" si="24"/>
        <v>8.69</v>
      </c>
      <c r="J46" s="263">
        <f t="shared" si="24"/>
        <v>8.69</v>
      </c>
      <c r="K46" s="263">
        <f t="shared" si="24"/>
        <v>8.69</v>
      </c>
      <c r="L46" s="263">
        <f t="shared" si="24"/>
        <v>8.69</v>
      </c>
    </row>
    <row r="47" spans="1:14" x14ac:dyDescent="0.3">
      <c r="A47" s="180" t="s">
        <v>95</v>
      </c>
      <c r="B47" s="182">
        <v>27.24</v>
      </c>
      <c r="C47" s="182">
        <v>46.54</v>
      </c>
      <c r="D47" s="182">
        <v>54.07</v>
      </c>
      <c r="E47" s="263">
        <f>D47</f>
        <v>54.07</v>
      </c>
      <c r="F47" s="263">
        <f t="shared" ref="F47:L47" si="25">E47</f>
        <v>54.07</v>
      </c>
      <c r="G47" s="263">
        <f t="shared" si="25"/>
        <v>54.07</v>
      </c>
      <c r="H47" s="263">
        <f t="shared" si="25"/>
        <v>54.07</v>
      </c>
      <c r="I47" s="263">
        <f t="shared" si="25"/>
        <v>54.07</v>
      </c>
      <c r="J47" s="263">
        <f t="shared" si="25"/>
        <v>54.07</v>
      </c>
      <c r="K47" s="263">
        <f t="shared" si="25"/>
        <v>54.07</v>
      </c>
      <c r="L47" s="263">
        <f t="shared" si="25"/>
        <v>54.07</v>
      </c>
    </row>
    <row r="48" spans="1:14" x14ac:dyDescent="0.3">
      <c r="A48" s="180" t="s">
        <v>96</v>
      </c>
      <c r="B48" s="182">
        <v>11.45</v>
      </c>
      <c r="C48" s="182">
        <v>13.16</v>
      </c>
      <c r="D48" s="182">
        <v>0</v>
      </c>
      <c r="E48" s="263">
        <f>D48</f>
        <v>0</v>
      </c>
      <c r="F48" s="263">
        <f t="shared" ref="F48:L48" si="26">E48</f>
        <v>0</v>
      </c>
      <c r="G48" s="263">
        <f t="shared" si="26"/>
        <v>0</v>
      </c>
      <c r="H48" s="263">
        <f t="shared" si="26"/>
        <v>0</v>
      </c>
      <c r="I48" s="263">
        <f t="shared" si="26"/>
        <v>0</v>
      </c>
      <c r="J48" s="263">
        <f t="shared" si="26"/>
        <v>0</v>
      </c>
      <c r="K48" s="263">
        <f t="shared" si="26"/>
        <v>0</v>
      </c>
      <c r="L48" s="263">
        <f t="shared" si="26"/>
        <v>0</v>
      </c>
    </row>
    <row r="49" spans="1:13" x14ac:dyDescent="0.3">
      <c r="A49" s="180" t="s">
        <v>295</v>
      </c>
      <c r="B49" s="182">
        <v>0</v>
      </c>
      <c r="C49" s="182">
        <v>0</v>
      </c>
      <c r="D49" s="182">
        <v>0</v>
      </c>
      <c r="E49" s="263">
        <v>0</v>
      </c>
      <c r="F49" s="263">
        <v>0</v>
      </c>
      <c r="G49" s="263">
        <v>0</v>
      </c>
      <c r="H49" s="263">
        <v>0</v>
      </c>
      <c r="I49" s="263">
        <v>0</v>
      </c>
      <c r="J49" s="263">
        <v>0</v>
      </c>
      <c r="K49" s="263">
        <v>0</v>
      </c>
      <c r="L49" s="263">
        <v>0</v>
      </c>
    </row>
    <row r="50" spans="1:13" x14ac:dyDescent="0.3">
      <c r="A50" s="180" t="s">
        <v>296</v>
      </c>
      <c r="B50" s="182">
        <v>0</v>
      </c>
      <c r="C50" s="182">
        <v>0</v>
      </c>
      <c r="D50" s="182">
        <v>0</v>
      </c>
      <c r="E50" s="263">
        <v>0</v>
      </c>
      <c r="F50" s="263">
        <v>0</v>
      </c>
      <c r="G50" s="263">
        <v>0</v>
      </c>
      <c r="H50" s="263">
        <v>0</v>
      </c>
      <c r="I50" s="263">
        <v>0</v>
      </c>
      <c r="J50" s="263">
        <v>0</v>
      </c>
      <c r="K50" s="263">
        <v>0</v>
      </c>
      <c r="L50" s="263">
        <v>0</v>
      </c>
    </row>
    <row r="51" spans="1:13" x14ac:dyDescent="0.3">
      <c r="A51" s="247" t="s">
        <v>289</v>
      </c>
      <c r="B51" s="245">
        <f>SUM(B45:B50)</f>
        <v>104.48</v>
      </c>
      <c r="C51" s="245">
        <f t="shared" ref="C51:D51" si="27">SUM(C45:C50)</f>
        <v>838.44999999999993</v>
      </c>
      <c r="D51" s="245">
        <f t="shared" si="27"/>
        <v>810.5100000000001</v>
      </c>
      <c r="E51" s="263">
        <f t="shared" ref="E51:L51" si="28">SUM(E45:E50)</f>
        <v>810.5100000000001</v>
      </c>
      <c r="F51" s="263">
        <f t="shared" si="28"/>
        <v>810.5100000000001</v>
      </c>
      <c r="G51" s="263">
        <f t="shared" si="28"/>
        <v>810.5100000000001</v>
      </c>
      <c r="H51" s="263">
        <f t="shared" si="28"/>
        <v>810.5100000000001</v>
      </c>
      <c r="I51" s="263">
        <f t="shared" si="28"/>
        <v>810.5100000000001</v>
      </c>
      <c r="J51" s="263">
        <f t="shared" si="28"/>
        <v>810.5100000000001</v>
      </c>
      <c r="K51" s="263">
        <f t="shared" si="28"/>
        <v>810.5100000000001</v>
      </c>
      <c r="L51" s="263">
        <f t="shared" si="28"/>
        <v>810.5100000000001</v>
      </c>
    </row>
    <row r="52" spans="1:13" x14ac:dyDescent="0.3">
      <c r="A52" s="247" t="s">
        <v>97</v>
      </c>
      <c r="B52" s="245">
        <f>B43+B51</f>
        <v>1955.8899999999999</v>
      </c>
      <c r="C52" s="245">
        <f t="shared" ref="C52:D52" si="29">C43+C51</f>
        <v>3403.7500000000005</v>
      </c>
      <c r="D52" s="245">
        <f t="shared" si="29"/>
        <v>4424.7800000000007</v>
      </c>
      <c r="E52" s="263">
        <f t="shared" ref="E52:L52" si="30">E43+E51</f>
        <v>4566.1121566817965</v>
      </c>
      <c r="F52" s="263">
        <f t="shared" si="30"/>
        <v>4746.8043199436188</v>
      </c>
      <c r="G52" s="263">
        <f t="shared" si="30"/>
        <v>4943.4655529454767</v>
      </c>
      <c r="H52" s="263">
        <f t="shared" si="30"/>
        <v>5147.5917553839718</v>
      </c>
      <c r="I52" s="263">
        <f t="shared" si="30"/>
        <v>5377.7865890278936</v>
      </c>
      <c r="J52" s="263">
        <f t="shared" si="30"/>
        <v>5627.2219250778262</v>
      </c>
      <c r="K52" s="263">
        <f t="shared" si="30"/>
        <v>5897.1372893712241</v>
      </c>
      <c r="L52" s="263">
        <f t="shared" si="30"/>
        <v>6193.3659384065431</v>
      </c>
      <c r="M52" s="268"/>
    </row>
    <row r="53" spans="1:13" x14ac:dyDescent="0.3">
      <c r="A53" s="247"/>
      <c r="B53" s="265"/>
      <c r="C53" s="265"/>
      <c r="D53" s="265"/>
      <c r="E53" s="265"/>
      <c r="F53" s="265"/>
      <c r="G53" s="265"/>
      <c r="H53" s="265"/>
      <c r="I53" s="265"/>
      <c r="J53" s="265"/>
      <c r="K53" s="265"/>
      <c r="L53" s="265"/>
      <c r="M53" s="268"/>
    </row>
    <row r="54" spans="1:13" x14ac:dyDescent="0.3">
      <c r="A54" s="247" t="s">
        <v>98</v>
      </c>
      <c r="B54" s="271"/>
      <c r="C54" s="271"/>
      <c r="D54" s="271"/>
      <c r="E54" s="271"/>
      <c r="F54" s="271"/>
      <c r="G54" s="271"/>
      <c r="H54" s="271"/>
      <c r="I54" s="271"/>
      <c r="J54" s="271"/>
      <c r="K54" s="271"/>
      <c r="L54" s="271"/>
    </row>
    <row r="55" spans="1:13" x14ac:dyDescent="0.3">
      <c r="A55" s="272" t="s">
        <v>99</v>
      </c>
      <c r="B55" s="182">
        <v>24.03</v>
      </c>
      <c r="C55" s="182">
        <v>24.05</v>
      </c>
      <c r="D55" s="182">
        <v>24.09</v>
      </c>
      <c r="E55" s="263">
        <f>D55</f>
        <v>24.09</v>
      </c>
      <c r="F55" s="263">
        <f t="shared" ref="F55:L55" si="31">E55</f>
        <v>24.09</v>
      </c>
      <c r="G55" s="263">
        <f t="shared" si="31"/>
        <v>24.09</v>
      </c>
      <c r="H55" s="263">
        <f t="shared" si="31"/>
        <v>24.09</v>
      </c>
      <c r="I55" s="263">
        <f t="shared" si="31"/>
        <v>24.09</v>
      </c>
      <c r="J55" s="263">
        <f t="shared" si="31"/>
        <v>24.09</v>
      </c>
      <c r="K55" s="263">
        <f t="shared" si="31"/>
        <v>24.09</v>
      </c>
      <c r="L55" s="263">
        <f t="shared" si="31"/>
        <v>24.09</v>
      </c>
    </row>
    <row r="56" spans="1:13" x14ac:dyDescent="0.3">
      <c r="A56" s="272" t="s">
        <v>100</v>
      </c>
      <c r="B56" s="182">
        <v>4229.22</v>
      </c>
      <c r="C56" s="182">
        <v>4378.78</v>
      </c>
      <c r="D56" s="182">
        <v>3523.57</v>
      </c>
      <c r="E56" s="263">
        <f>D56+'Income Statement'!E41+'Income Statement'!E51</f>
        <v>4753.7547650961551</v>
      </c>
      <c r="F56" s="263">
        <f>E56+'Income Statement'!F41+'Income Statement'!F51</f>
        <v>6125.6305490032109</v>
      </c>
      <c r="G56" s="263">
        <f>F56+'Income Statement'!G41+'Income Statement'!G51</f>
        <v>7646.8300639012832</v>
      </c>
      <c r="H56" s="263">
        <f>G56+'Income Statement'!H41+'Income Statement'!H51</f>
        <v>9256.9070818469991</v>
      </c>
      <c r="I56" s="263">
        <f>H56+'Income Statement'!I41+'Income Statement'!I51</f>
        <v>11019.29610528557</v>
      </c>
      <c r="J56" s="263">
        <f>I56+'Income Statement'!J41+'Income Statement'!J51</f>
        <v>12936.80150538735</v>
      </c>
      <c r="K56" s="263">
        <f>J56+'Income Statement'!K41+'Income Statement'!K51</f>
        <v>15009.332373016907</v>
      </c>
      <c r="L56" s="263">
        <f>K56+'Income Statement'!L41+'Income Statement'!L51</f>
        <v>17265.323049377272</v>
      </c>
    </row>
    <row r="57" spans="1:13" x14ac:dyDescent="0.3">
      <c r="A57" s="273" t="s">
        <v>101</v>
      </c>
      <c r="B57" s="245">
        <f>SUM(B55:B56)</f>
        <v>4253.25</v>
      </c>
      <c r="C57" s="245">
        <f t="shared" ref="C57:L57" si="32">SUM(C55:C56)</f>
        <v>4402.83</v>
      </c>
      <c r="D57" s="245">
        <f t="shared" si="32"/>
        <v>3547.6600000000003</v>
      </c>
      <c r="E57" s="263">
        <f t="shared" si="32"/>
        <v>4777.8447650961552</v>
      </c>
      <c r="F57" s="263">
        <f t="shared" si="32"/>
        <v>6149.7205490032111</v>
      </c>
      <c r="G57" s="263">
        <f t="shared" si="32"/>
        <v>7670.9200639012834</v>
      </c>
      <c r="H57" s="263">
        <f t="shared" si="32"/>
        <v>9280.9970818469992</v>
      </c>
      <c r="I57" s="263">
        <f t="shared" si="32"/>
        <v>11043.38610528557</v>
      </c>
      <c r="J57" s="263">
        <f t="shared" si="32"/>
        <v>12960.89150538735</v>
      </c>
      <c r="K57" s="263">
        <f t="shared" si="32"/>
        <v>15033.422373016907</v>
      </c>
      <c r="L57" s="263">
        <f t="shared" si="32"/>
        <v>17289.413049377272</v>
      </c>
      <c r="M57" s="268"/>
    </row>
    <row r="58" spans="1:13" x14ac:dyDescent="0.3">
      <c r="A58" s="272" t="s">
        <v>60</v>
      </c>
      <c r="B58" s="182">
        <v>32.68</v>
      </c>
      <c r="C58" s="182">
        <v>35.65</v>
      </c>
      <c r="D58" s="182">
        <v>36.340000000000003</v>
      </c>
      <c r="E58" s="263">
        <f>D58</f>
        <v>36.340000000000003</v>
      </c>
      <c r="F58" s="263">
        <f t="shared" ref="F58:L58" si="33">E58</f>
        <v>36.340000000000003</v>
      </c>
      <c r="G58" s="263">
        <f t="shared" si="33"/>
        <v>36.340000000000003</v>
      </c>
      <c r="H58" s="263">
        <f t="shared" si="33"/>
        <v>36.340000000000003</v>
      </c>
      <c r="I58" s="263">
        <f t="shared" si="33"/>
        <v>36.340000000000003</v>
      </c>
      <c r="J58" s="263">
        <f t="shared" si="33"/>
        <v>36.340000000000003</v>
      </c>
      <c r="K58" s="263">
        <f t="shared" si="33"/>
        <v>36.340000000000003</v>
      </c>
      <c r="L58" s="263">
        <f t="shared" si="33"/>
        <v>36.340000000000003</v>
      </c>
    </row>
    <row r="59" spans="1:13" x14ac:dyDescent="0.3">
      <c r="A59" s="273" t="s">
        <v>102</v>
      </c>
      <c r="B59" s="245">
        <f>B57+B58</f>
        <v>4285.93</v>
      </c>
      <c r="C59" s="245">
        <f t="shared" ref="C59:D59" si="34">C57+C58</f>
        <v>4438.4799999999996</v>
      </c>
      <c r="D59" s="245">
        <f t="shared" si="34"/>
        <v>3584.0000000000005</v>
      </c>
      <c r="E59" s="263">
        <f t="shared" ref="E59:L59" si="35">E57+E58</f>
        <v>4814.1847650961554</v>
      </c>
      <c r="F59" s="263">
        <f t="shared" si="35"/>
        <v>6186.0605490032112</v>
      </c>
      <c r="G59" s="263">
        <f t="shared" si="35"/>
        <v>7707.2600639012835</v>
      </c>
      <c r="H59" s="263">
        <f t="shared" si="35"/>
        <v>9317.3370818469994</v>
      </c>
      <c r="I59" s="263">
        <f t="shared" si="35"/>
        <v>11079.72610528557</v>
      </c>
      <c r="J59" s="263">
        <f t="shared" si="35"/>
        <v>12997.23150538735</v>
      </c>
      <c r="K59" s="263">
        <f t="shared" si="35"/>
        <v>15069.762373016907</v>
      </c>
      <c r="L59" s="263">
        <f t="shared" si="35"/>
        <v>17325.753049377272</v>
      </c>
    </row>
    <row r="60" spans="1:13" x14ac:dyDescent="0.3">
      <c r="A60" s="247" t="s">
        <v>103</v>
      </c>
      <c r="B60" s="245">
        <f>B52+B59</f>
        <v>6241.82</v>
      </c>
      <c r="C60" s="245">
        <f t="shared" ref="C60:D60" si="36">C52+C59</f>
        <v>7842.23</v>
      </c>
      <c r="D60" s="245">
        <f t="shared" si="36"/>
        <v>8008.7800000000007</v>
      </c>
      <c r="E60" s="263">
        <f t="shared" ref="E60:L60" si="37">E52+E59</f>
        <v>9380.2969217779519</v>
      </c>
      <c r="F60" s="263">
        <f t="shared" si="37"/>
        <v>10932.86486894683</v>
      </c>
      <c r="G60" s="263">
        <f t="shared" si="37"/>
        <v>12650.725616846761</v>
      </c>
      <c r="H60" s="263">
        <f t="shared" si="37"/>
        <v>14464.928837230971</v>
      </c>
      <c r="I60" s="263">
        <f t="shared" si="37"/>
        <v>16457.512694313464</v>
      </c>
      <c r="J60" s="263">
        <f t="shared" si="37"/>
        <v>18624.453430465175</v>
      </c>
      <c r="K60" s="263">
        <f t="shared" si="37"/>
        <v>20966.899662388132</v>
      </c>
      <c r="L60" s="263">
        <f t="shared" si="37"/>
        <v>23519.118987783815</v>
      </c>
      <c r="M60" s="268"/>
    </row>
    <row r="61" spans="1:13" x14ac:dyDescent="0.3">
      <c r="A61" s="274"/>
      <c r="B61" s="275"/>
      <c r="C61" s="275"/>
      <c r="D61" s="275"/>
      <c r="E61" s="276"/>
      <c r="F61" s="276"/>
      <c r="G61" s="276"/>
      <c r="H61" s="276"/>
      <c r="I61" s="276"/>
      <c r="J61" s="276"/>
      <c r="K61" s="276"/>
      <c r="L61" s="276"/>
    </row>
    <row r="62" spans="1:13" x14ac:dyDescent="0.3">
      <c r="A62" s="277"/>
      <c r="B62" s="275"/>
      <c r="C62" s="275"/>
      <c r="D62" s="275"/>
      <c r="E62" s="358"/>
      <c r="F62" s="358"/>
      <c r="G62" s="358"/>
      <c r="H62" s="358"/>
      <c r="I62" s="358"/>
      <c r="J62" s="358"/>
      <c r="K62" s="358"/>
      <c r="L62" s="358"/>
    </row>
    <row r="63" spans="1:13" ht="43.8" customHeight="1" x14ac:dyDescent="0.3">
      <c r="A63" s="321" t="s">
        <v>263</v>
      </c>
      <c r="B63" s="261"/>
      <c r="C63" s="261"/>
      <c r="D63" s="261"/>
      <c r="E63" s="261"/>
      <c r="F63" s="261"/>
      <c r="G63" s="261"/>
      <c r="H63" s="261"/>
      <c r="I63" s="261"/>
      <c r="J63" s="261"/>
      <c r="K63" s="261"/>
      <c r="L63" s="261"/>
    </row>
    <row r="64" spans="1:13" x14ac:dyDescent="0.3">
      <c r="A64" s="261"/>
      <c r="B64" s="261"/>
      <c r="C64" s="261"/>
      <c r="D64" s="261"/>
      <c r="E64" s="261"/>
      <c r="F64" s="261"/>
      <c r="G64" s="261"/>
      <c r="H64" s="261"/>
      <c r="I64" s="261"/>
      <c r="J64" s="261"/>
      <c r="K64" s="261"/>
      <c r="L64" s="261"/>
    </row>
    <row r="65" spans="1:12" x14ac:dyDescent="0.3">
      <c r="A65" s="261"/>
      <c r="B65" s="261"/>
      <c r="C65" s="261"/>
      <c r="D65" s="261"/>
      <c r="E65" s="261"/>
      <c r="F65" s="261"/>
      <c r="G65" s="261"/>
      <c r="H65" s="261"/>
      <c r="I65" s="261"/>
      <c r="J65" s="261"/>
      <c r="K65" s="261"/>
      <c r="L65" s="261"/>
    </row>
    <row r="66" spans="1:12" x14ac:dyDescent="0.3">
      <c r="A66" s="183" t="s">
        <v>75</v>
      </c>
      <c r="B66" s="322" t="str">
        <f t="shared" ref="B66:L66" si="38">B5</f>
        <v>FY2019 A</v>
      </c>
      <c r="C66" s="322" t="str">
        <f t="shared" si="38"/>
        <v>FY2020 A</v>
      </c>
      <c r="D66" s="322" t="str">
        <f t="shared" si="38"/>
        <v>FY2021 A</v>
      </c>
      <c r="E66" s="323" t="str">
        <f t="shared" si="38"/>
        <v>FY2022 E</v>
      </c>
      <c r="F66" s="323" t="str">
        <f t="shared" si="38"/>
        <v>FY2023 E</v>
      </c>
      <c r="G66" s="323" t="str">
        <f t="shared" si="38"/>
        <v>FY2024 E</v>
      </c>
      <c r="H66" s="323" t="str">
        <f t="shared" si="38"/>
        <v>FY2025 E</v>
      </c>
      <c r="I66" s="323" t="str">
        <f t="shared" si="38"/>
        <v>FY2026 E</v>
      </c>
      <c r="J66" s="323" t="str">
        <f t="shared" si="38"/>
        <v>FY2027 E</v>
      </c>
      <c r="K66" s="323" t="str">
        <f t="shared" si="38"/>
        <v>FY2028 E</v>
      </c>
      <c r="L66" s="323" t="str">
        <f t="shared" si="38"/>
        <v>FY2029 E</v>
      </c>
    </row>
    <row r="67" spans="1:12" x14ac:dyDescent="0.3">
      <c r="A67" s="278" t="s">
        <v>0</v>
      </c>
      <c r="B67" s="261"/>
      <c r="C67" s="261"/>
      <c r="D67" s="261"/>
      <c r="E67" s="261"/>
      <c r="F67" s="261"/>
      <c r="G67" s="261"/>
      <c r="H67" s="261"/>
      <c r="I67" s="261"/>
      <c r="J67" s="261"/>
      <c r="K67" s="261"/>
      <c r="L67" s="261"/>
    </row>
    <row r="68" spans="1:12" x14ac:dyDescent="0.3">
      <c r="A68" s="260" t="str">
        <f>A6</f>
        <v>Assets</v>
      </c>
      <c r="B68" s="261"/>
      <c r="C68" s="261"/>
      <c r="D68" s="261"/>
      <c r="E68" s="261"/>
      <c r="F68" s="261"/>
      <c r="G68" s="261"/>
      <c r="H68" s="261"/>
      <c r="I68" s="261"/>
      <c r="J68" s="261"/>
      <c r="K68" s="261"/>
      <c r="L68" s="261"/>
    </row>
    <row r="69" spans="1:12" x14ac:dyDescent="0.3">
      <c r="A69" s="260"/>
      <c r="B69" s="279"/>
      <c r="C69" s="279"/>
      <c r="D69" s="279"/>
      <c r="E69" s="279"/>
      <c r="F69" s="279"/>
      <c r="G69" s="279"/>
      <c r="H69" s="279"/>
      <c r="I69" s="279"/>
      <c r="J69" s="279"/>
      <c r="K69" s="279"/>
      <c r="L69" s="279"/>
    </row>
    <row r="70" spans="1:12" x14ac:dyDescent="0.3">
      <c r="A70" s="280" t="str">
        <f t="shared" ref="A70:A122" si="39">A8</f>
        <v>Cash And Cash Equivalents</v>
      </c>
      <c r="B70" s="281">
        <f>B8/B$33</f>
        <v>9.6638480443204076E-3</v>
      </c>
      <c r="C70" s="281">
        <f t="shared" ref="C70:D70" si="40">C8/C$33</f>
        <v>1.0358023164329535E-2</v>
      </c>
      <c r="D70" s="281">
        <f t="shared" si="40"/>
        <v>1.7822939324091808E-2</v>
      </c>
      <c r="E70" s="281">
        <f t="shared" ref="E70:L70" si="41">E8/E$33</f>
        <v>0.15783922871155354</v>
      </c>
      <c r="F70" s="281">
        <f t="shared" si="41"/>
        <v>0.26813895135771709</v>
      </c>
      <c r="G70" s="281">
        <f t="shared" si="41"/>
        <v>0.35335956914999089</v>
      </c>
      <c r="H70" s="281">
        <f t="shared" si="41"/>
        <v>0.42518079879586551</v>
      </c>
      <c r="I70" s="281">
        <f t="shared" si="41"/>
        <v>0.48447097060356142</v>
      </c>
      <c r="J70" s="281">
        <f t="shared" si="41"/>
        <v>0.53386618090859894</v>
      </c>
      <c r="K70" s="281">
        <f t="shared" si="41"/>
        <v>0.57630559705933859</v>
      </c>
      <c r="L70" s="281">
        <f t="shared" si="41"/>
        <v>0.61251924677507785</v>
      </c>
    </row>
    <row r="71" spans="1:12" x14ac:dyDescent="0.3">
      <c r="A71" s="280" t="str">
        <f t="shared" si="39"/>
        <v>Bank Balance</v>
      </c>
      <c r="B71" s="281">
        <f t="shared" ref="B71:D71" si="42">B9/B$33</f>
        <v>7.9303792804021906E-3</v>
      </c>
      <c r="C71" s="281">
        <f t="shared" si="42"/>
        <v>5.3071639061848478E-3</v>
      </c>
      <c r="D71" s="281">
        <f t="shared" si="42"/>
        <v>8.5655992548178354E-3</v>
      </c>
      <c r="E71" s="281">
        <f t="shared" ref="E71:L71" si="43">E9/E$33</f>
        <v>7.3141994061991416E-3</v>
      </c>
      <c r="F71" s="281">
        <f t="shared" si="43"/>
        <v>6.2753938081632488E-3</v>
      </c>
      <c r="G71" s="281">
        <f t="shared" si="43"/>
        <v>5.4231625699577924E-3</v>
      </c>
      <c r="H71" s="281">
        <f t="shared" si="43"/>
        <v>4.7429248851379949E-3</v>
      </c>
      <c r="I71" s="281">
        <f t="shared" si="43"/>
        <v>4.1686333241814869E-3</v>
      </c>
      <c r="J71" s="281">
        <f t="shared" si="43"/>
        <v>3.683582728590123E-3</v>
      </c>
      <c r="K71" s="281">
        <f t="shared" si="43"/>
        <v>3.2720234891538609E-3</v>
      </c>
      <c r="L71" s="281">
        <f t="shared" si="43"/>
        <v>2.9169346739568126E-3</v>
      </c>
    </row>
    <row r="72" spans="1:12" x14ac:dyDescent="0.3">
      <c r="A72" s="280" t="str">
        <f t="shared" si="39"/>
        <v>Current Investment</v>
      </c>
      <c r="B72" s="281">
        <f t="shared" ref="B72:D72" si="44">B10/B$33</f>
        <v>0.12013803666238373</v>
      </c>
      <c r="C72" s="281">
        <f t="shared" si="44"/>
        <v>0.12863305462859417</v>
      </c>
      <c r="D72" s="281">
        <f t="shared" si="44"/>
        <v>0.1739653230579439</v>
      </c>
      <c r="E72" s="281">
        <f t="shared" ref="E72:L72" si="45">E10/E$33</f>
        <v>0.14854968400418303</v>
      </c>
      <c r="F72" s="281">
        <f t="shared" si="45"/>
        <v>0.12745178459509399</v>
      </c>
      <c r="G72" s="281">
        <f t="shared" si="45"/>
        <v>0.11014316691827543</v>
      </c>
      <c r="H72" s="281">
        <f t="shared" si="45"/>
        <v>9.6327698195605133E-2</v>
      </c>
      <c r="I72" s="281">
        <f t="shared" si="45"/>
        <v>8.466397053813203E-2</v>
      </c>
      <c r="J72" s="281">
        <f t="shared" si="45"/>
        <v>7.4812706073005678E-2</v>
      </c>
      <c r="K72" s="281">
        <f t="shared" si="45"/>
        <v>6.6454033910548355E-2</v>
      </c>
      <c r="L72" s="281">
        <f t="shared" si="45"/>
        <v>5.9242262893445037E-2</v>
      </c>
    </row>
    <row r="73" spans="1:12" x14ac:dyDescent="0.3">
      <c r="A73" s="280" t="str">
        <f t="shared" si="39"/>
        <v>Accounts Receivables</v>
      </c>
      <c r="B73" s="281">
        <f t="shared" ref="B73:D73" si="46">B11/B$33</f>
        <v>6.316106520213656E-2</v>
      </c>
      <c r="C73" s="281">
        <f t="shared" si="46"/>
        <v>4.0850625396092695E-2</v>
      </c>
      <c r="D73" s="281">
        <f t="shared" si="46"/>
        <v>3.2123494464824848E-2</v>
      </c>
      <c r="E73" s="281">
        <f t="shared" ref="E73:L73" si="47">E11/E$33</f>
        <v>3.9719961952735076E-2</v>
      </c>
      <c r="F73" s="281">
        <f t="shared" si="47"/>
        <v>3.4073664153137728E-2</v>
      </c>
      <c r="G73" s="281">
        <f t="shared" si="47"/>
        <v>3.0705569178028271E-2</v>
      </c>
      <c r="H73" s="281">
        <f t="shared" si="47"/>
        <v>3.0983207081566013E-2</v>
      </c>
      <c r="I73" s="281">
        <f t="shared" si="47"/>
        <v>2.8995091246924894E-2</v>
      </c>
      <c r="J73" s="281">
        <f t="shared" si="47"/>
        <v>2.7826818230085176E-2</v>
      </c>
      <c r="K73" s="281">
        <f t="shared" si="47"/>
        <v>2.7216961856102503E-2</v>
      </c>
      <c r="L73" s="281">
        <f t="shared" si="47"/>
        <v>2.6300151812555801E-2</v>
      </c>
    </row>
    <row r="74" spans="1:12" x14ac:dyDescent="0.3">
      <c r="A74" s="280" t="str">
        <f t="shared" si="39"/>
        <v>Inventories</v>
      </c>
      <c r="B74" s="281">
        <f t="shared" ref="B74:D74" si="48">B12/B$33</f>
        <v>0.12518464165900331</v>
      </c>
      <c r="C74" s="281">
        <f t="shared" si="48"/>
        <v>9.4483329359123625E-2</v>
      </c>
      <c r="D74" s="281">
        <f t="shared" si="48"/>
        <v>0.13628667537377728</v>
      </c>
      <c r="E74" s="281">
        <f t="shared" ref="E74:L74" si="49">E12/E$33</f>
        <v>0.10933491494450664</v>
      </c>
      <c r="F74" s="281">
        <f t="shared" si="49"/>
        <v>0.10270325417508649</v>
      </c>
      <c r="G74" s="281">
        <f t="shared" si="49"/>
        <v>0.10106746932620513</v>
      </c>
      <c r="H74" s="281">
        <f t="shared" si="49"/>
        <v>9.3412419139855138E-2</v>
      </c>
      <c r="I74" s="281">
        <f t="shared" si="49"/>
        <v>9.0014416709215672E-2</v>
      </c>
      <c r="J74" s="281">
        <f t="shared" si="49"/>
        <v>8.7247751818338104E-2</v>
      </c>
      <c r="K74" s="281">
        <f t="shared" si="49"/>
        <v>8.3955593024960071E-2</v>
      </c>
      <c r="L74" s="281">
        <f t="shared" si="49"/>
        <v>8.1744004633720238E-2</v>
      </c>
    </row>
    <row r="75" spans="1:12" x14ac:dyDescent="0.3">
      <c r="A75" s="280" t="str">
        <f t="shared" si="39"/>
        <v>Short-Term Loans And Advances</v>
      </c>
      <c r="B75" s="281">
        <f t="shared" ref="B75:D75" si="50">B13/B$33</f>
        <v>0.19287964087397588</v>
      </c>
      <c r="C75" s="281">
        <f t="shared" si="50"/>
        <v>0.14155539942082801</v>
      </c>
      <c r="D75" s="281">
        <f t="shared" si="50"/>
        <v>0.11819028616093835</v>
      </c>
      <c r="E75" s="281">
        <f t="shared" ref="E75:L75" si="51">E13/E$33</f>
        <v>0.10092315728763644</v>
      </c>
      <c r="F75" s="281">
        <f t="shared" si="51"/>
        <v>8.658945718739075E-2</v>
      </c>
      <c r="G75" s="281">
        <f t="shared" si="51"/>
        <v>7.4830156883662499E-2</v>
      </c>
      <c r="H75" s="281">
        <f t="shared" si="51"/>
        <v>6.5444066753297669E-2</v>
      </c>
      <c r="I75" s="281">
        <f t="shared" si="51"/>
        <v>5.7519847803749691E-2</v>
      </c>
      <c r="J75" s="281">
        <f t="shared" si="51"/>
        <v>5.0826998069595723E-2</v>
      </c>
      <c r="K75" s="281">
        <f t="shared" si="51"/>
        <v>4.5148200494074031E-2</v>
      </c>
      <c r="L75" s="281">
        <f t="shared" si="51"/>
        <v>4.0248595990970276E-2</v>
      </c>
    </row>
    <row r="76" spans="1:12" x14ac:dyDescent="0.3">
      <c r="A76" s="280" t="str">
        <f t="shared" si="39"/>
        <v>Other Current Assets</v>
      </c>
      <c r="B76" s="281">
        <f t="shared" ref="B76:D76" si="52">B14/B$33</f>
        <v>2.5763319031949016E-2</v>
      </c>
      <c r="C76" s="281">
        <f t="shared" si="52"/>
        <v>1.8128772045706388E-2</v>
      </c>
      <c r="D76" s="281">
        <f t="shared" si="52"/>
        <v>4.9665492122395669E-2</v>
      </c>
      <c r="E76" s="281">
        <f t="shared" ref="E76:L76" si="53">E14/E$33</f>
        <v>4.2409562038043309E-2</v>
      </c>
      <c r="F76" s="281">
        <f t="shared" si="53"/>
        <v>3.6386306722084753E-2</v>
      </c>
      <c r="G76" s="281">
        <f t="shared" si="53"/>
        <v>3.1444856324000167E-2</v>
      </c>
      <c r="H76" s="281">
        <f t="shared" si="53"/>
        <v>2.7500667672193717E-2</v>
      </c>
      <c r="I76" s="281">
        <f t="shared" si="53"/>
        <v>2.4170781210297792E-2</v>
      </c>
      <c r="J76" s="281">
        <f t="shared" si="53"/>
        <v>2.1358336240874742E-2</v>
      </c>
      <c r="K76" s="281">
        <f t="shared" si="53"/>
        <v>1.8972012580843144E-2</v>
      </c>
      <c r="L76" s="281">
        <f t="shared" si="53"/>
        <v>1.6913118599315772E-2</v>
      </c>
    </row>
    <row r="77" spans="1:12" x14ac:dyDescent="0.3">
      <c r="A77" s="280" t="str">
        <f t="shared" si="39"/>
        <v>Other Financial Assets</v>
      </c>
      <c r="B77" s="281">
        <f t="shared" ref="B77:D77" si="54">B15/B$33</f>
        <v>2.0232880794383692E-2</v>
      </c>
      <c r="C77" s="281">
        <f t="shared" si="54"/>
        <v>2.9296513874242404E-2</v>
      </c>
      <c r="D77" s="281">
        <f t="shared" si="54"/>
        <v>1.5234530103211725E-2</v>
      </c>
      <c r="E77" s="281">
        <f t="shared" ref="E77:L77" si="55">E15/E$33</f>
        <v>1.3008826086739905E-2</v>
      </c>
      <c r="F77" s="281">
        <f t="shared" si="55"/>
        <v>1.1161236130233208E-2</v>
      </c>
      <c r="G77" s="281">
        <f t="shared" si="55"/>
        <v>9.6454819994249309E-3</v>
      </c>
      <c r="H77" s="281">
        <f t="shared" si="55"/>
        <v>8.4356306885668628E-3</v>
      </c>
      <c r="I77" s="281">
        <f t="shared" si="55"/>
        <v>7.4142121265799313E-3</v>
      </c>
      <c r="J77" s="281">
        <f t="shared" si="55"/>
        <v>6.5515149958495769E-3</v>
      </c>
      <c r="K77" s="281">
        <f t="shared" si="55"/>
        <v>5.8195274914236532E-3</v>
      </c>
      <c r="L77" s="281">
        <f t="shared" si="55"/>
        <v>5.1879766701089037E-3</v>
      </c>
    </row>
    <row r="78" spans="1:12" x14ac:dyDescent="0.3">
      <c r="A78" s="280" t="str">
        <f t="shared" si="39"/>
        <v>Other Items 2</v>
      </c>
      <c r="B78" s="281">
        <f t="shared" ref="B78:D78" si="56">B16/B$33</f>
        <v>0</v>
      </c>
      <c r="C78" s="281">
        <f t="shared" si="56"/>
        <v>0</v>
      </c>
      <c r="D78" s="281">
        <f t="shared" si="56"/>
        <v>0</v>
      </c>
      <c r="E78" s="281">
        <f t="shared" ref="E78:L78" si="57">E16/E$33</f>
        <v>0</v>
      </c>
      <c r="F78" s="281">
        <f t="shared" si="57"/>
        <v>0</v>
      </c>
      <c r="G78" s="281">
        <f t="shared" si="57"/>
        <v>0</v>
      </c>
      <c r="H78" s="281">
        <f t="shared" si="57"/>
        <v>0</v>
      </c>
      <c r="I78" s="281">
        <f t="shared" si="57"/>
        <v>0</v>
      </c>
      <c r="J78" s="281">
        <f t="shared" si="57"/>
        <v>0</v>
      </c>
      <c r="K78" s="281">
        <f t="shared" si="57"/>
        <v>0</v>
      </c>
      <c r="L78" s="281">
        <f t="shared" si="57"/>
        <v>0</v>
      </c>
    </row>
    <row r="79" spans="1:12" x14ac:dyDescent="0.3">
      <c r="A79" s="280" t="str">
        <f t="shared" si="39"/>
        <v>Other Current Assets 3</v>
      </c>
      <c r="B79" s="281">
        <f t="shared" ref="B79:D79" si="58">B17/B$33</f>
        <v>0</v>
      </c>
      <c r="C79" s="281">
        <f t="shared" si="58"/>
        <v>0</v>
      </c>
      <c r="D79" s="281">
        <f t="shared" si="58"/>
        <v>0</v>
      </c>
      <c r="E79" s="281">
        <f t="shared" ref="E79:L79" si="59">E17/E$33</f>
        <v>0</v>
      </c>
      <c r="F79" s="281">
        <f t="shared" si="59"/>
        <v>0</v>
      </c>
      <c r="G79" s="281">
        <f t="shared" si="59"/>
        <v>0</v>
      </c>
      <c r="H79" s="281">
        <f t="shared" si="59"/>
        <v>0</v>
      </c>
      <c r="I79" s="281">
        <f t="shared" si="59"/>
        <v>0</v>
      </c>
      <c r="J79" s="281">
        <f t="shared" si="59"/>
        <v>0</v>
      </c>
      <c r="K79" s="281">
        <f t="shared" si="59"/>
        <v>0</v>
      </c>
      <c r="L79" s="281">
        <f t="shared" si="59"/>
        <v>0</v>
      </c>
    </row>
    <row r="80" spans="1:12" x14ac:dyDescent="0.3">
      <c r="A80" s="260" t="str">
        <f t="shared" si="39"/>
        <v>Total Current Assets</v>
      </c>
      <c r="B80" s="281">
        <f t="shared" ref="B80:D80" si="60">B18/B$33</f>
        <v>0.56495381154855484</v>
      </c>
      <c r="C80" s="281">
        <f t="shared" si="60"/>
        <v>0.46861288179510169</v>
      </c>
      <c r="D80" s="281">
        <f t="shared" si="60"/>
        <v>0.5518543398620015</v>
      </c>
      <c r="E80" s="281">
        <f t="shared" ref="E80:L80" si="61">E18/E$33</f>
        <v>0.61909953443159715</v>
      </c>
      <c r="F80" s="281">
        <f t="shared" si="61"/>
        <v>0.67278004812890724</v>
      </c>
      <c r="G80" s="281">
        <f t="shared" si="61"/>
        <v>0.71661943234954517</v>
      </c>
      <c r="H80" s="281">
        <f t="shared" si="61"/>
        <v>0.7520274132120881</v>
      </c>
      <c r="I80" s="281">
        <f t="shared" si="61"/>
        <v>0.78141792356264295</v>
      </c>
      <c r="J80" s="281">
        <f t="shared" si="61"/>
        <v>0.80617388906493814</v>
      </c>
      <c r="K80" s="281">
        <f t="shared" si="61"/>
        <v>0.82714394990644413</v>
      </c>
      <c r="L80" s="281">
        <f t="shared" si="61"/>
        <v>0.84507229204915058</v>
      </c>
    </row>
    <row r="81" spans="1:12" x14ac:dyDescent="0.3">
      <c r="A81" s="260"/>
      <c r="B81" s="281"/>
      <c r="C81" s="281"/>
      <c r="D81" s="281"/>
      <c r="E81" s="281"/>
      <c r="F81" s="281"/>
      <c r="G81" s="281"/>
      <c r="H81" s="281"/>
      <c r="I81" s="281"/>
      <c r="J81" s="281"/>
      <c r="K81" s="281"/>
      <c r="L81" s="281"/>
    </row>
    <row r="82" spans="1:12" x14ac:dyDescent="0.3">
      <c r="A82" s="280" t="str">
        <f t="shared" si="39"/>
        <v>PPE, Net</v>
      </c>
      <c r="B82" s="281">
        <f>B20/B$33</f>
        <v>0.24601478414949485</v>
      </c>
      <c r="C82" s="281">
        <f t="shared" ref="C82:D82" si="62">C20/C$33</f>
        <v>0.21886249191875271</v>
      </c>
      <c r="D82" s="281">
        <f t="shared" si="62"/>
        <v>0.20406354026455961</v>
      </c>
      <c r="E82" s="281">
        <f t="shared" ref="E82:L82" si="63">E20/E$33</f>
        <v>0.17130520578229491</v>
      </c>
      <c r="F82" s="281">
        <f t="shared" si="63"/>
        <v>0.14618868872815055</v>
      </c>
      <c r="G82" s="281">
        <f t="shared" si="63"/>
        <v>0.12582597200628459</v>
      </c>
      <c r="H82" s="281">
        <f t="shared" si="63"/>
        <v>0.10914086130422508</v>
      </c>
      <c r="I82" s="281">
        <f t="shared" si="63"/>
        <v>9.5547011238955246E-2</v>
      </c>
      <c r="J82" s="281">
        <f t="shared" si="63"/>
        <v>8.413782019437413E-2</v>
      </c>
      <c r="K82" s="281">
        <f t="shared" si="63"/>
        <v>7.4486337966400556E-2</v>
      </c>
      <c r="L82" s="281">
        <f t="shared" si="63"/>
        <v>6.6320505061722393E-2</v>
      </c>
    </row>
    <row r="83" spans="1:12" x14ac:dyDescent="0.3">
      <c r="A83" s="280" t="str">
        <f t="shared" si="39"/>
        <v>Other Intangible Assets</v>
      </c>
      <c r="B83" s="281">
        <f t="shared" ref="B83:D83" si="64">B21/B$33</f>
        <v>1.2207977801346403E-3</v>
      </c>
      <c r="C83" s="281">
        <f t="shared" si="64"/>
        <v>1.0672984597493314E-3</v>
      </c>
      <c r="D83" s="281">
        <f t="shared" si="64"/>
        <v>1.0663297031507919E-3</v>
      </c>
      <c r="E83" s="281">
        <f t="shared" ref="E83:L83" si="65">E21/E$33</f>
        <v>1.6572897730617091E-2</v>
      </c>
      <c r="F83" s="281">
        <f t="shared" si="65"/>
        <v>1.5423071677250913E-2</v>
      </c>
      <c r="G83" s="281">
        <f t="shared" si="65"/>
        <v>1.4436861093896419E-2</v>
      </c>
      <c r="H83" s="281">
        <f t="shared" si="65"/>
        <v>1.3665522931814783E-2</v>
      </c>
      <c r="I83" s="281">
        <f t="shared" si="65"/>
        <v>1.3024467169754668E-2</v>
      </c>
      <c r="J83" s="281">
        <f t="shared" si="65"/>
        <v>1.2478220353947061E-2</v>
      </c>
      <c r="K83" s="281">
        <f t="shared" si="65"/>
        <v>1.2020726065572385E-2</v>
      </c>
      <c r="L83" s="281">
        <f t="shared" si="65"/>
        <v>1.1629041717925021E-2</v>
      </c>
    </row>
    <row r="84" spans="1:12" x14ac:dyDescent="0.3">
      <c r="A84" s="280" t="str">
        <f t="shared" si="39"/>
        <v>Capital Work-In-Progress</v>
      </c>
      <c r="B84" s="281">
        <f t="shared" ref="B84:D84" si="66">B22/B$33</f>
        <v>1.6219628249452885E-2</v>
      </c>
      <c r="C84" s="281">
        <f t="shared" si="66"/>
        <v>5.0432083731285614E-3</v>
      </c>
      <c r="D84" s="281">
        <f t="shared" si="66"/>
        <v>1.45490324369005E-2</v>
      </c>
      <c r="E84" s="281">
        <f t="shared" ref="E84:L84" si="67">E22/E$33</f>
        <v>1.2423476892278776E-2</v>
      </c>
      <c r="F84" s="281">
        <f t="shared" si="67"/>
        <v>1.0659021669492445E-2</v>
      </c>
      <c r="G84" s="281">
        <f t="shared" si="67"/>
        <v>9.2114708841323899E-3</v>
      </c>
      <c r="H84" s="281">
        <f t="shared" si="67"/>
        <v>8.0560584200623786E-3</v>
      </c>
      <c r="I84" s="281">
        <f t="shared" si="67"/>
        <v>7.0805999261461649E-3</v>
      </c>
      <c r="J84" s="281">
        <f t="shared" si="67"/>
        <v>6.2567209844798998E-3</v>
      </c>
      <c r="K84" s="281">
        <f t="shared" si="67"/>
        <v>5.5576702180205224E-3</v>
      </c>
      <c r="L84" s="281">
        <f t="shared" si="67"/>
        <v>4.9545368543651288E-3</v>
      </c>
    </row>
    <row r="85" spans="1:12" x14ac:dyDescent="0.3">
      <c r="A85" s="280" t="str">
        <f t="shared" si="39"/>
        <v>Investment Property</v>
      </c>
      <c r="B85" s="281">
        <f t="shared" ref="B85:D85" si="68">B23/B$33</f>
        <v>2.3598886222287734E-3</v>
      </c>
      <c r="C85" s="281">
        <f t="shared" si="68"/>
        <v>1.8451384363886295E-3</v>
      </c>
      <c r="D85" s="281">
        <f t="shared" si="68"/>
        <v>1.7743027027836949E-3</v>
      </c>
      <c r="E85" s="281">
        <f t="shared" ref="E85:L85" si="69">E23/E$33</f>
        <v>1.5150841627126796E-3</v>
      </c>
      <c r="F85" s="281">
        <f t="shared" si="69"/>
        <v>1.2999030031195303E-3</v>
      </c>
      <c r="G85" s="281">
        <f t="shared" si="69"/>
        <v>1.1233693894912571E-3</v>
      </c>
      <c r="H85" s="281">
        <f t="shared" si="69"/>
        <v>9.8246301192144196E-4</v>
      </c>
      <c r="I85" s="281">
        <f t="shared" si="69"/>
        <v>8.6350261715187956E-4</v>
      </c>
      <c r="J85" s="281">
        <f t="shared" si="69"/>
        <v>7.6302785092223989E-4</v>
      </c>
      <c r="K85" s="281">
        <f t="shared" si="69"/>
        <v>6.7777629418187119E-4</v>
      </c>
      <c r="L85" s="281">
        <f t="shared" si="69"/>
        <v>6.0422218246248269E-4</v>
      </c>
    </row>
    <row r="86" spans="1:12" x14ac:dyDescent="0.3">
      <c r="A86" s="280" t="str">
        <f t="shared" si="39"/>
        <v>Goodwill on Consolidation</v>
      </c>
      <c r="B86" s="281">
        <f t="shared" ref="B86:D86" si="70">B24/B$33</f>
        <v>2.088653629870775E-2</v>
      </c>
      <c r="C86" s="281">
        <f t="shared" si="70"/>
        <v>1.7720724844846429E-2</v>
      </c>
      <c r="D86" s="281">
        <f t="shared" si="70"/>
        <v>1.696887665786799E-2</v>
      </c>
      <c r="E86" s="281">
        <f t="shared" ref="E86:L86" si="71">E24/E$33</f>
        <v>0</v>
      </c>
      <c r="F86" s="281">
        <f t="shared" si="71"/>
        <v>0</v>
      </c>
      <c r="G86" s="281">
        <f t="shared" si="71"/>
        <v>0</v>
      </c>
      <c r="H86" s="281">
        <f t="shared" si="71"/>
        <v>0</v>
      </c>
      <c r="I86" s="281">
        <f t="shared" si="71"/>
        <v>0</v>
      </c>
      <c r="J86" s="281">
        <f t="shared" si="71"/>
        <v>0</v>
      </c>
      <c r="K86" s="281">
        <f t="shared" si="71"/>
        <v>0</v>
      </c>
      <c r="L86" s="281">
        <f t="shared" si="71"/>
        <v>0</v>
      </c>
    </row>
    <row r="87" spans="1:12" x14ac:dyDescent="0.3">
      <c r="A87" s="280" t="str">
        <f t="shared" si="39"/>
        <v>Long-Term Investments</v>
      </c>
      <c r="B87" s="281">
        <f t="shared" ref="B87:D87" si="72">B25/B$33</f>
        <v>0.11620969524914208</v>
      </c>
      <c r="C87" s="281">
        <f t="shared" si="72"/>
        <v>0.24010772446102704</v>
      </c>
      <c r="D87" s="281">
        <f t="shared" si="72"/>
        <v>0.17295393305846832</v>
      </c>
      <c r="E87" s="281">
        <f t="shared" ref="E87:L87" si="73">E25/E$33</f>
        <v>0.14768605404514201</v>
      </c>
      <c r="F87" s="281">
        <f t="shared" si="73"/>
        <v>0.1267108124399027</v>
      </c>
      <c r="G87" s="281">
        <f t="shared" si="73"/>
        <v>0.10950282264981102</v>
      </c>
      <c r="H87" s="281">
        <f t="shared" si="73"/>
        <v>9.5767673537155901E-2</v>
      </c>
      <c r="I87" s="281">
        <f t="shared" si="73"/>
        <v>8.4171755816180582E-2</v>
      </c>
      <c r="J87" s="281">
        <f t="shared" si="73"/>
        <v>7.4377764089017626E-2</v>
      </c>
      <c r="K87" s="281">
        <f t="shared" si="73"/>
        <v>6.6067687113724058E-2</v>
      </c>
      <c r="L87" s="281">
        <f t="shared" si="73"/>
        <v>5.8897843493167346E-2</v>
      </c>
    </row>
    <row r="88" spans="1:12" x14ac:dyDescent="0.3">
      <c r="A88" s="280" t="str">
        <f t="shared" si="39"/>
        <v>Deferred Tax Assets (Net)</v>
      </c>
      <c r="B88" s="281">
        <f t="shared" ref="B88:D88" si="74">B26/B$33</f>
        <v>2.2028831334450528E-3</v>
      </c>
      <c r="C88" s="281">
        <f t="shared" si="74"/>
        <v>2.4941885152565024E-3</v>
      </c>
      <c r="D88" s="281">
        <f t="shared" si="74"/>
        <v>1.0176331476204864E-2</v>
      </c>
      <c r="E88" s="281">
        <f t="shared" ref="E88:L88" si="75">E26/E$33</f>
        <v>8.6896100817088935E-3</v>
      </c>
      <c r="F88" s="281">
        <f t="shared" si="75"/>
        <v>7.4554605738382631E-3</v>
      </c>
      <c r="G88" s="281">
        <f t="shared" si="75"/>
        <v>6.4429701086233249E-3</v>
      </c>
      <c r="H88" s="281">
        <f t="shared" si="75"/>
        <v>5.6348160078534496E-3</v>
      </c>
      <c r="I88" s="281">
        <f t="shared" si="75"/>
        <v>4.9525308443264032E-3</v>
      </c>
      <c r="J88" s="281">
        <f t="shared" si="75"/>
        <v>4.3762681104970126E-3</v>
      </c>
      <c r="K88" s="281">
        <f t="shared" si="75"/>
        <v>3.8873165359481002E-3</v>
      </c>
      <c r="L88" s="281">
        <f t="shared" si="75"/>
        <v>3.4654544595842602E-3</v>
      </c>
    </row>
    <row r="89" spans="1:12" x14ac:dyDescent="0.3">
      <c r="A89" s="280" t="str">
        <f t="shared" si="39"/>
        <v>Long-Term Loans And Advances</v>
      </c>
      <c r="B89" s="281">
        <f t="shared" ref="B89:D89" si="76">B27/B$33</f>
        <v>3.0471881598636294E-3</v>
      </c>
      <c r="C89" s="281">
        <f t="shared" si="76"/>
        <v>2.5879118567040241E-2</v>
      </c>
      <c r="D89" s="281">
        <f t="shared" si="76"/>
        <v>9.312279772949187E-3</v>
      </c>
      <c r="E89" s="281">
        <f t="shared" ref="E89:L89" si="77">E27/E$33</f>
        <v>7.9517928821331192E-3</v>
      </c>
      <c r="F89" s="281">
        <f t="shared" si="77"/>
        <v>6.8224325103908908E-3</v>
      </c>
      <c r="G89" s="281">
        <f t="shared" si="77"/>
        <v>5.8959105607500313E-3</v>
      </c>
      <c r="H89" s="281">
        <f t="shared" si="77"/>
        <v>5.1563751885363215E-3</v>
      </c>
      <c r="I89" s="281">
        <f t="shared" si="77"/>
        <v>4.5320214769308358E-3</v>
      </c>
      <c r="J89" s="281">
        <f t="shared" si="77"/>
        <v>4.0046880451640142E-3</v>
      </c>
      <c r="K89" s="281">
        <f t="shared" si="77"/>
        <v>3.5572523589080893E-3</v>
      </c>
      <c r="L89" s="281">
        <f t="shared" si="77"/>
        <v>3.171209737371707E-3</v>
      </c>
    </row>
    <row r="90" spans="1:12" x14ac:dyDescent="0.3">
      <c r="A90" s="280" t="str">
        <f t="shared" si="39"/>
        <v>Investment In Associates</v>
      </c>
      <c r="B90" s="281">
        <f t="shared" ref="B90:D90" si="78">B28/B$33</f>
        <v>1.666180697296622E-4</v>
      </c>
      <c r="C90" s="281">
        <f t="shared" si="78"/>
        <v>1.8872183039773127E-4</v>
      </c>
      <c r="D90" s="281">
        <f t="shared" si="78"/>
        <v>2.8593618503692196E-4</v>
      </c>
      <c r="E90" s="281">
        <f t="shared" ref="E90:L90" si="79">E28/E$33</f>
        <v>2.4416205014863028E-4</v>
      </c>
      <c r="F90" s="281">
        <f t="shared" si="79"/>
        <v>2.0948472041827757E-4</v>
      </c>
      <c r="G90" s="281">
        <f t="shared" si="79"/>
        <v>1.8103560182512166E-4</v>
      </c>
      <c r="H90" s="281">
        <f t="shared" si="79"/>
        <v>1.5832795899367361E-4</v>
      </c>
      <c r="I90" s="281">
        <f t="shared" si="79"/>
        <v>1.3915700163812838E-4</v>
      </c>
      <c r="J90" s="281">
        <f t="shared" si="79"/>
        <v>1.2296507942378108E-4</v>
      </c>
      <c r="K90" s="281">
        <f t="shared" si="79"/>
        <v>1.0922644008983006E-4</v>
      </c>
      <c r="L90" s="281">
        <f t="shared" si="79"/>
        <v>9.7372892177275541E-5</v>
      </c>
    </row>
    <row r="91" spans="1:12" x14ac:dyDescent="0.3">
      <c r="A91" s="280" t="str">
        <f t="shared" si="39"/>
        <v>Other Financial Assets</v>
      </c>
      <c r="B91" s="281">
        <f t="shared" ref="B91:D91" si="80">B29/B$33</f>
        <v>4.5932115953359765E-3</v>
      </c>
      <c r="C91" s="281">
        <f t="shared" si="80"/>
        <v>3.9950371259195412E-3</v>
      </c>
      <c r="D91" s="281">
        <f t="shared" si="80"/>
        <v>3.7621210721233444E-3</v>
      </c>
      <c r="E91" s="281">
        <f t="shared" ref="E91:L91" si="81">E29/E$33</f>
        <v>3.2124902056673492E-3</v>
      </c>
      <c r="F91" s="281">
        <f t="shared" si="81"/>
        <v>2.7562334612238879E-3</v>
      </c>
      <c r="G91" s="281">
        <f t="shared" si="81"/>
        <v>2.3819225689916657E-3</v>
      </c>
      <c r="H91" s="281">
        <f t="shared" si="81"/>
        <v>2.0831534517377231E-3</v>
      </c>
      <c r="I91" s="281">
        <f t="shared" si="81"/>
        <v>1.8309172311601781E-3</v>
      </c>
      <c r="J91" s="281">
        <f t="shared" si="81"/>
        <v>1.6178767873530672E-3</v>
      </c>
      <c r="K91" s="281">
        <f t="shared" si="81"/>
        <v>1.4371146899155368E-3</v>
      </c>
      <c r="L91" s="281">
        <f t="shared" si="81"/>
        <v>1.2811551272058129E-3</v>
      </c>
    </row>
    <row r="92" spans="1:12" x14ac:dyDescent="0.3">
      <c r="A92" s="280" t="str">
        <f t="shared" si="39"/>
        <v>Other Non Current Assets</v>
      </c>
      <c r="B92" s="281">
        <f t="shared" ref="B92:D92" si="82">B30/B$33</f>
        <v>2.2124957143909951E-2</v>
      </c>
      <c r="C92" s="281">
        <f t="shared" si="82"/>
        <v>1.4183465672391654E-2</v>
      </c>
      <c r="D92" s="281">
        <f t="shared" si="82"/>
        <v>1.3232976807953271E-2</v>
      </c>
      <c r="E92" s="281">
        <f t="shared" ref="E92:L92" si="83">E30/E$33</f>
        <v>1.1299691735699492E-2</v>
      </c>
      <c r="F92" s="281">
        <f t="shared" si="83"/>
        <v>9.6948430873052653E-3</v>
      </c>
      <c r="G92" s="281">
        <f t="shared" si="83"/>
        <v>8.3782327866490803E-3</v>
      </c>
      <c r="H92" s="281">
        <f t="shared" si="83"/>
        <v>7.3273349756111479E-3</v>
      </c>
      <c r="I92" s="281">
        <f t="shared" si="83"/>
        <v>6.4401131151130327E-3</v>
      </c>
      <c r="J92" s="281">
        <f t="shared" si="83"/>
        <v>5.6907594398831092E-3</v>
      </c>
      <c r="K92" s="281">
        <f t="shared" si="83"/>
        <v>5.0549424107948424E-3</v>
      </c>
      <c r="L92" s="281">
        <f t="shared" si="83"/>
        <v>4.5063664248679745E-3</v>
      </c>
    </row>
    <row r="93" spans="1:12" x14ac:dyDescent="0.3">
      <c r="A93" s="280" t="str">
        <f t="shared" si="39"/>
        <v>Other items 3</v>
      </c>
      <c r="B93" s="281">
        <f t="shared" ref="B93:D93" si="84">B31/B$33</f>
        <v>0</v>
      </c>
      <c r="C93" s="281">
        <f t="shared" si="84"/>
        <v>0</v>
      </c>
      <c r="D93" s="281">
        <f t="shared" si="84"/>
        <v>0</v>
      </c>
      <c r="E93" s="281">
        <f t="shared" ref="E93:L93" si="85">E31/E$33</f>
        <v>0</v>
      </c>
      <c r="F93" s="281">
        <f t="shared" si="85"/>
        <v>0</v>
      </c>
      <c r="G93" s="281">
        <f t="shared" si="85"/>
        <v>0</v>
      </c>
      <c r="H93" s="281">
        <f t="shared" si="85"/>
        <v>0</v>
      </c>
      <c r="I93" s="281">
        <f t="shared" si="85"/>
        <v>0</v>
      </c>
      <c r="J93" s="281">
        <f t="shared" si="85"/>
        <v>0</v>
      </c>
      <c r="K93" s="281">
        <f t="shared" si="85"/>
        <v>0</v>
      </c>
      <c r="L93" s="281">
        <f t="shared" si="85"/>
        <v>0</v>
      </c>
    </row>
    <row r="94" spans="1:12" x14ac:dyDescent="0.3">
      <c r="A94" s="260" t="str">
        <f t="shared" si="39"/>
        <v>Total Non-Current Assets</v>
      </c>
      <c r="B94" s="281">
        <f t="shared" ref="B94:D94" si="86">B32/B$33</f>
        <v>0.43504618845144527</v>
      </c>
      <c r="C94" s="281">
        <f t="shared" si="86"/>
        <v>0.53138711820489826</v>
      </c>
      <c r="D94" s="281">
        <f t="shared" si="86"/>
        <v>0.4481456601379985</v>
      </c>
      <c r="E94" s="281">
        <f t="shared" ref="E94:L94" si="87">E32/E$33</f>
        <v>0.38090046556840296</v>
      </c>
      <c r="F94" s="281">
        <f t="shared" si="87"/>
        <v>0.32721995187109271</v>
      </c>
      <c r="G94" s="281">
        <f t="shared" si="87"/>
        <v>0.28338056765045494</v>
      </c>
      <c r="H94" s="281">
        <f t="shared" si="87"/>
        <v>0.2479725867879119</v>
      </c>
      <c r="I94" s="281">
        <f t="shared" si="87"/>
        <v>0.21858207643735714</v>
      </c>
      <c r="J94" s="281">
        <f t="shared" si="87"/>
        <v>0.19382611093506194</v>
      </c>
      <c r="K94" s="281">
        <f t="shared" si="87"/>
        <v>0.17285605009355581</v>
      </c>
      <c r="L94" s="281">
        <f t="shared" si="87"/>
        <v>0.1549277079508494</v>
      </c>
    </row>
    <row r="95" spans="1:12" x14ac:dyDescent="0.3">
      <c r="A95" s="260" t="str">
        <f t="shared" si="39"/>
        <v>Total Assets</v>
      </c>
      <c r="B95" s="281">
        <f t="shared" ref="B95:D95" si="88">B33/B$33</f>
        <v>1</v>
      </c>
      <c r="C95" s="281">
        <f t="shared" si="88"/>
        <v>1</v>
      </c>
      <c r="D95" s="281">
        <f t="shared" si="88"/>
        <v>1</v>
      </c>
      <c r="E95" s="281">
        <f t="shared" ref="E95:L95" si="89">E33/E$33</f>
        <v>1</v>
      </c>
      <c r="F95" s="281">
        <f t="shared" si="89"/>
        <v>1</v>
      </c>
      <c r="G95" s="281">
        <f t="shared" si="89"/>
        <v>1</v>
      </c>
      <c r="H95" s="281">
        <f t="shared" si="89"/>
        <v>1</v>
      </c>
      <c r="I95" s="281">
        <f t="shared" si="89"/>
        <v>1</v>
      </c>
      <c r="J95" s="281">
        <f t="shared" si="89"/>
        <v>1</v>
      </c>
      <c r="K95" s="281">
        <f t="shared" si="89"/>
        <v>1</v>
      </c>
      <c r="L95" s="281">
        <f t="shared" si="89"/>
        <v>1</v>
      </c>
    </row>
    <row r="96" spans="1:12" x14ac:dyDescent="0.3">
      <c r="A96" s="260"/>
      <c r="B96" s="281"/>
      <c r="C96" s="281"/>
      <c r="D96" s="281"/>
      <c r="E96" s="281"/>
      <c r="F96" s="281"/>
      <c r="G96" s="281"/>
      <c r="H96" s="281"/>
      <c r="I96" s="281"/>
      <c r="J96" s="281"/>
      <c r="K96" s="281"/>
      <c r="L96" s="281"/>
    </row>
    <row r="97" spans="1:12" x14ac:dyDescent="0.3">
      <c r="A97" s="260" t="str">
        <f t="shared" si="39"/>
        <v>LIABILITIES &amp; EQUITY</v>
      </c>
      <c r="B97" s="281"/>
      <c r="C97" s="281"/>
      <c r="D97" s="281"/>
      <c r="E97" s="281"/>
      <c r="F97" s="281"/>
      <c r="G97" s="281"/>
      <c r="H97" s="281"/>
      <c r="I97" s="281"/>
      <c r="J97" s="281"/>
      <c r="K97" s="281"/>
      <c r="L97" s="281"/>
    </row>
    <row r="98" spans="1:12" x14ac:dyDescent="0.3">
      <c r="A98" s="260"/>
      <c r="B98" s="281"/>
      <c r="C98" s="281"/>
      <c r="D98" s="281"/>
      <c r="E98" s="281"/>
      <c r="F98" s="281"/>
      <c r="G98" s="281"/>
      <c r="H98" s="281"/>
      <c r="I98" s="281"/>
      <c r="J98" s="281"/>
      <c r="K98" s="281"/>
      <c r="L98" s="281"/>
    </row>
    <row r="99" spans="1:12" x14ac:dyDescent="0.3">
      <c r="A99" s="280" t="str">
        <f t="shared" si="39"/>
        <v xml:space="preserve">Accounts Payable </v>
      </c>
      <c r="B99" s="281">
        <f>B37/B$60</f>
        <v>0.18272074491093945</v>
      </c>
      <c r="C99" s="281">
        <f t="shared" ref="C99:D99" si="90">C37/C$60</f>
        <v>0.14234216542998612</v>
      </c>
      <c r="D99" s="281">
        <f t="shared" si="90"/>
        <v>0.1641635804704337</v>
      </c>
      <c r="E99" s="281">
        <f t="shared" ref="E99:L99" si="91">E37/E$60</f>
        <v>0.15224983450504412</v>
      </c>
      <c r="F99" s="281">
        <f t="shared" si="91"/>
        <v>0.14081288691319679</v>
      </c>
      <c r="G99" s="281">
        <f t="shared" si="91"/>
        <v>0.13377686994347937</v>
      </c>
      <c r="H99" s="281">
        <f t="shared" si="91"/>
        <v>0.1272761756681372</v>
      </c>
      <c r="I99" s="281">
        <f t="shared" si="91"/>
        <v>0.12174811356731609</v>
      </c>
      <c r="J99" s="281">
        <f t="shared" si="91"/>
        <v>0.11746191124861878</v>
      </c>
      <c r="K99" s="281">
        <f t="shared" si="91"/>
        <v>0.11366030410124892</v>
      </c>
      <c r="L99" s="281">
        <f t="shared" si="91"/>
        <v>0.1104286600505885</v>
      </c>
    </row>
    <row r="100" spans="1:12" x14ac:dyDescent="0.3">
      <c r="A100" s="280" t="str">
        <f t="shared" si="39"/>
        <v>Short-Term Borrowings</v>
      </c>
      <c r="B100" s="281">
        <f t="shared" ref="B100:D100" si="92">B38/B$60</f>
        <v>1.2191956833103165E-2</v>
      </c>
      <c r="C100" s="281">
        <f t="shared" si="92"/>
        <v>9.5379758053512842E-2</v>
      </c>
      <c r="D100" s="281">
        <f t="shared" si="92"/>
        <v>0.16724394976513277</v>
      </c>
      <c r="E100" s="281">
        <f t="shared" ref="E100:L100" si="93">E38/E$60</f>
        <v>0.14279078915831642</v>
      </c>
      <c r="F100" s="281">
        <f t="shared" si="93"/>
        <v>0.1225131761945053</v>
      </c>
      <c r="G100" s="281">
        <f t="shared" si="93"/>
        <v>0.10587693074429792</v>
      </c>
      <c r="H100" s="281">
        <f t="shared" si="93"/>
        <v>9.2597759385617956E-2</v>
      </c>
      <c r="I100" s="281">
        <f t="shared" si="93"/>
        <v>8.1386539076637482E-2</v>
      </c>
      <c r="J100" s="281">
        <f t="shared" si="93"/>
        <v>7.1917278270782842E-2</v>
      </c>
      <c r="K100" s="281">
        <f t="shared" si="93"/>
        <v>6.3882596929804733E-2</v>
      </c>
      <c r="L100" s="281">
        <f t="shared" si="93"/>
        <v>5.6950262494769255E-2</v>
      </c>
    </row>
    <row r="101" spans="1:12" x14ac:dyDescent="0.3">
      <c r="A101" s="280" t="str">
        <f t="shared" si="39"/>
        <v>Other Current Liabilities</v>
      </c>
      <c r="B101" s="281">
        <f t="shared" ref="B101:D101" si="94">B39/B$60</f>
        <v>5.8383612472003354E-2</v>
      </c>
      <c r="C101" s="281">
        <f t="shared" si="94"/>
        <v>5.8910539476653964E-2</v>
      </c>
      <c r="D101" s="281">
        <f t="shared" si="94"/>
        <v>6.2000704227110737E-2</v>
      </c>
      <c r="E101" s="281">
        <f t="shared" ref="E101:L101" si="95">E39/E$60</f>
        <v>5.5913315655845688E-2</v>
      </c>
      <c r="F101" s="281">
        <f t="shared" si="95"/>
        <v>5.4316600692838425E-2</v>
      </c>
      <c r="G101" s="281">
        <f t="shared" si="95"/>
        <v>5.0401146678956357E-2</v>
      </c>
      <c r="H101" s="281">
        <f t="shared" si="95"/>
        <v>4.791388464252784E-2</v>
      </c>
      <c r="I101" s="281">
        <f t="shared" si="95"/>
        <v>4.6218130200676832E-2</v>
      </c>
      <c r="J101" s="281">
        <f t="shared" si="95"/>
        <v>4.4354484401846937E-2</v>
      </c>
      <c r="K101" s="281">
        <f t="shared" si="95"/>
        <v>4.2951180774680277E-2</v>
      </c>
      <c r="L101" s="281">
        <f t="shared" si="95"/>
        <v>4.1783076293191612E-2</v>
      </c>
    </row>
    <row r="102" spans="1:12" x14ac:dyDescent="0.3">
      <c r="A102" s="280" t="str">
        <f t="shared" si="39"/>
        <v>Short-Term Provisions</v>
      </c>
      <c r="B102" s="281">
        <f t="shared" ref="B102:D102" si="96">B40/B$60</f>
        <v>3.1482804694784532E-2</v>
      </c>
      <c r="C102" s="281">
        <f t="shared" si="96"/>
        <v>2.4388471136398703E-2</v>
      </c>
      <c r="D102" s="281">
        <f t="shared" si="96"/>
        <v>4.8380652234172997E-2</v>
      </c>
      <c r="E102" s="281">
        <f t="shared" ref="E102:L102" si="97">E40/E$60</f>
        <v>4.1306794788171647E-2</v>
      </c>
      <c r="F102" s="281">
        <f t="shared" si="97"/>
        <v>3.5440847814789213E-2</v>
      </c>
      <c r="G102" s="281">
        <f t="shared" si="97"/>
        <v>3.0628282656293856E-2</v>
      </c>
      <c r="H102" s="281">
        <f t="shared" si="97"/>
        <v>2.6786858363429988E-2</v>
      </c>
      <c r="I102" s="281">
        <f t="shared" si="97"/>
        <v>2.3543654937230089E-2</v>
      </c>
      <c r="J102" s="281">
        <f t="shared" si="97"/>
        <v>2.0804368914590067E-2</v>
      </c>
      <c r="K102" s="281">
        <f t="shared" si="97"/>
        <v>1.8480080805416854E-2</v>
      </c>
      <c r="L102" s="281">
        <f t="shared" si="97"/>
        <v>1.6474681734518107E-2</v>
      </c>
    </row>
    <row r="103" spans="1:12" x14ac:dyDescent="0.3">
      <c r="A103" s="280" t="str">
        <f t="shared" si="39"/>
        <v>Current tax Liabilities</v>
      </c>
      <c r="B103" s="281">
        <f t="shared" ref="B103:D103" si="98">B41/B$60</f>
        <v>1.1720940366752005E-2</v>
      </c>
      <c r="C103" s="281">
        <f t="shared" si="98"/>
        <v>6.0926547678402708E-3</v>
      </c>
      <c r="D103" s="281">
        <f t="shared" si="98"/>
        <v>9.4995742172965161E-3</v>
      </c>
      <c r="E103" s="281">
        <f t="shared" ref="E103:L103" si="99">E41/E$60</f>
        <v>8.1106174606655965E-3</v>
      </c>
      <c r="F103" s="281">
        <f t="shared" si="99"/>
        <v>6.958834753010977E-3</v>
      </c>
      <c r="G103" s="281">
        <f t="shared" si="99"/>
        <v>6.0138842865017578E-3</v>
      </c>
      <c r="H103" s="281">
        <f t="shared" si="99"/>
        <v>5.2596179943989298E-3</v>
      </c>
      <c r="I103" s="281">
        <f t="shared" si="99"/>
        <v>4.6228127793750866E-3</v>
      </c>
      <c r="J103" s="281">
        <f t="shared" si="99"/>
        <v>4.0849520918316571E-3</v>
      </c>
      <c r="K103" s="281">
        <f t="shared" si="99"/>
        <v>3.6285765289599558E-3</v>
      </c>
      <c r="L103" s="281">
        <f t="shared" si="99"/>
        <v>3.234815047260788E-3</v>
      </c>
    </row>
    <row r="104" spans="1:12" x14ac:dyDescent="0.3">
      <c r="A104" s="280" t="str">
        <f t="shared" si="39"/>
        <v>Governmnet Grant</v>
      </c>
      <c r="B104" s="281">
        <f t="shared" ref="B104:D104" si="100">B42/B$60</f>
        <v>1.1374887452698091E-4</v>
      </c>
      <c r="C104" s="281">
        <f t="shared" si="100"/>
        <v>0</v>
      </c>
      <c r="D104" s="281">
        <f t="shared" si="100"/>
        <v>0</v>
      </c>
      <c r="E104" s="281">
        <f t="shared" ref="E104:L104" si="101">E42/E$60</f>
        <v>0</v>
      </c>
      <c r="F104" s="281">
        <f t="shared" si="101"/>
        <v>0</v>
      </c>
      <c r="G104" s="281">
        <f t="shared" si="101"/>
        <v>0</v>
      </c>
      <c r="H104" s="281">
        <f t="shared" si="101"/>
        <v>0</v>
      </c>
      <c r="I104" s="281">
        <f t="shared" si="101"/>
        <v>0</v>
      </c>
      <c r="J104" s="281">
        <f t="shared" si="101"/>
        <v>0</v>
      </c>
      <c r="K104" s="281">
        <f t="shared" si="101"/>
        <v>0</v>
      </c>
      <c r="L104" s="281">
        <f t="shared" si="101"/>
        <v>0</v>
      </c>
    </row>
    <row r="105" spans="1:12" x14ac:dyDescent="0.3">
      <c r="A105" s="260" t="str">
        <f t="shared" si="39"/>
        <v>Total Current Liabilities</v>
      </c>
      <c r="B105" s="281">
        <f t="shared" ref="B105:D105" si="102">B43/B$60</f>
        <v>0.29661380815210947</v>
      </c>
      <c r="C105" s="281">
        <f t="shared" si="102"/>
        <v>0.32711358886439201</v>
      </c>
      <c r="D105" s="281">
        <f t="shared" si="102"/>
        <v>0.45128846091414676</v>
      </c>
      <c r="E105" s="281">
        <f t="shared" ref="E105:L105" si="103">E43/E$60</f>
        <v>0.40037135156804349</v>
      </c>
      <c r="F105" s="281">
        <f t="shared" si="103"/>
        <v>0.3600423463683407</v>
      </c>
      <c r="G105" s="281">
        <f t="shared" si="103"/>
        <v>0.32669711430952925</v>
      </c>
      <c r="H105" s="281">
        <f t="shared" si="103"/>
        <v>0.29983429605411188</v>
      </c>
      <c r="I105" s="281">
        <f t="shared" si="103"/>
        <v>0.27751925056123555</v>
      </c>
      <c r="J105" s="281">
        <f t="shared" si="103"/>
        <v>0.25862299492767027</v>
      </c>
      <c r="K105" s="281">
        <f t="shared" si="103"/>
        <v>0.24260273914011074</v>
      </c>
      <c r="L105" s="281">
        <f t="shared" si="103"/>
        <v>0.22887149562032827</v>
      </c>
    </row>
    <row r="106" spans="1:12" x14ac:dyDescent="0.3">
      <c r="A106" s="260"/>
      <c r="B106" s="281"/>
      <c r="C106" s="281"/>
      <c r="D106" s="281"/>
      <c r="E106" s="281"/>
      <c r="F106" s="281"/>
      <c r="G106" s="281"/>
      <c r="H106" s="281"/>
      <c r="I106" s="281"/>
      <c r="J106" s="281"/>
      <c r="K106" s="281"/>
      <c r="L106" s="281"/>
    </row>
    <row r="107" spans="1:12" x14ac:dyDescent="0.3">
      <c r="A107" s="280" t="str">
        <f t="shared" si="39"/>
        <v>Long-Term Debt</v>
      </c>
      <c r="B107" s="281">
        <f>B45/B$60</f>
        <v>9.9201835362121953E-3</v>
      </c>
      <c r="C107" s="281">
        <f t="shared" ref="C107:D107" si="104">C45/C$60</f>
        <v>9.7683949590868915E-2</v>
      </c>
      <c r="D107" s="281">
        <f t="shared" si="104"/>
        <v>9.3366280507143407E-2</v>
      </c>
      <c r="E107" s="281">
        <f t="shared" ref="E107:L107" si="105">E45/E$60</f>
        <v>7.9714960649483427E-2</v>
      </c>
      <c r="F107" s="281">
        <f t="shared" si="105"/>
        <v>6.8394698824447403E-2</v>
      </c>
      <c r="G107" s="281">
        <f t="shared" si="105"/>
        <v>5.9107281483066376E-2</v>
      </c>
      <c r="H107" s="281">
        <f t="shared" si="105"/>
        <v>5.1693997835328596E-2</v>
      </c>
      <c r="I107" s="281">
        <f t="shared" si="105"/>
        <v>4.5435176863534717E-2</v>
      </c>
      <c r="J107" s="281">
        <f t="shared" si="105"/>
        <v>4.014882921486753E-2</v>
      </c>
      <c r="K107" s="281">
        <f t="shared" si="105"/>
        <v>3.5663355672053192E-2</v>
      </c>
      <c r="L107" s="281">
        <f t="shared" si="105"/>
        <v>3.1793282749595878E-2</v>
      </c>
    </row>
    <row r="108" spans="1:12" x14ac:dyDescent="0.3">
      <c r="A108" s="280" t="str">
        <f t="shared" si="39"/>
        <v xml:space="preserve">Deferred Tax Liabilities (Net) </v>
      </c>
      <c r="B108" s="281">
        <f t="shared" ref="B108:D108" si="106">B46/B$60</f>
        <v>6.200114710132622E-4</v>
      </c>
      <c r="C108" s="281">
        <f t="shared" si="106"/>
        <v>1.6181621809102768E-3</v>
      </c>
      <c r="D108" s="281">
        <f t="shared" si="106"/>
        <v>1.0850591475855247E-3</v>
      </c>
      <c r="E108" s="281">
        <f t="shared" ref="E108:L108" si="107">E46/E$60</f>
        <v>9.264099071133547E-4</v>
      </c>
      <c r="F108" s="281">
        <f t="shared" si="107"/>
        <v>7.9485113043724223E-4</v>
      </c>
      <c r="G108" s="281">
        <f t="shared" si="107"/>
        <v>6.8691711947555564E-4</v>
      </c>
      <c r="H108" s="281">
        <f t="shared" si="107"/>
        <v>6.0076341182080308E-4</v>
      </c>
      <c r="I108" s="281">
        <f t="shared" si="107"/>
        <v>5.2802632824355291E-4</v>
      </c>
      <c r="J108" s="281">
        <f t="shared" si="107"/>
        <v>4.6659087379097134E-4</v>
      </c>
      <c r="K108" s="281">
        <f t="shared" si="107"/>
        <v>4.1446280279524206E-4</v>
      </c>
      <c r="L108" s="281">
        <f t="shared" si="107"/>
        <v>3.6948662934669095E-4</v>
      </c>
    </row>
    <row r="109" spans="1:12" x14ac:dyDescent="0.3">
      <c r="A109" s="280" t="str">
        <f t="shared" si="39"/>
        <v xml:space="preserve">Other Long-Term Liabilities </v>
      </c>
      <c r="B109" s="281">
        <f t="shared" ref="B109:D109" si="108">B47/B$60</f>
        <v>4.3641117494576899E-3</v>
      </c>
      <c r="C109" s="281">
        <f t="shared" si="108"/>
        <v>5.9345364775070355E-3</v>
      </c>
      <c r="D109" s="281">
        <f t="shared" si="108"/>
        <v>6.7513404039067117E-3</v>
      </c>
      <c r="E109" s="281">
        <f t="shared" ref="E109:L109" si="109">E47/E$60</f>
        <v>5.7642098593347632E-3</v>
      </c>
      <c r="F109" s="281">
        <f t="shared" si="109"/>
        <v>4.9456387367942103E-3</v>
      </c>
      <c r="G109" s="281">
        <f t="shared" si="109"/>
        <v>4.2740631357932445E-3</v>
      </c>
      <c r="H109" s="281">
        <f t="shared" si="109"/>
        <v>3.7380066371865157E-3</v>
      </c>
      <c r="I109" s="281">
        <f t="shared" si="109"/>
        <v>3.2854296396005647E-3</v>
      </c>
      <c r="J109" s="281">
        <f t="shared" si="109"/>
        <v>2.9031724448651116E-3</v>
      </c>
      <c r="K109" s="281">
        <f t="shared" si="109"/>
        <v>2.5788266682553211E-3</v>
      </c>
      <c r="L109" s="281">
        <f t="shared" si="109"/>
        <v>2.2989806730466722E-3</v>
      </c>
    </row>
    <row r="110" spans="1:12" x14ac:dyDescent="0.3">
      <c r="A110" s="280" t="str">
        <f t="shared" si="39"/>
        <v>Long-Term Provisions</v>
      </c>
      <c r="B110" s="281">
        <f t="shared" ref="B110:D110" si="110">B48/B$60</f>
        <v>1.8344008638506077E-3</v>
      </c>
      <c r="C110" s="281">
        <f t="shared" si="110"/>
        <v>1.6780941135365835E-3</v>
      </c>
      <c r="D110" s="281">
        <f t="shared" si="110"/>
        <v>0</v>
      </c>
      <c r="E110" s="281">
        <f t="shared" ref="E110:L110" si="111">E48/E$60</f>
        <v>0</v>
      </c>
      <c r="F110" s="281">
        <f t="shared" si="111"/>
        <v>0</v>
      </c>
      <c r="G110" s="281">
        <f t="shared" si="111"/>
        <v>0</v>
      </c>
      <c r="H110" s="281">
        <f t="shared" si="111"/>
        <v>0</v>
      </c>
      <c r="I110" s="281">
        <f t="shared" si="111"/>
        <v>0</v>
      </c>
      <c r="J110" s="281">
        <f t="shared" si="111"/>
        <v>0</v>
      </c>
      <c r="K110" s="281">
        <f t="shared" si="111"/>
        <v>0</v>
      </c>
      <c r="L110" s="281">
        <f t="shared" si="111"/>
        <v>0</v>
      </c>
    </row>
    <row r="111" spans="1:12" x14ac:dyDescent="0.3">
      <c r="A111" s="280" t="str">
        <f t="shared" si="39"/>
        <v>Other items</v>
      </c>
      <c r="B111" s="281">
        <f t="shared" ref="B111:D111" si="112">B49/B$60</f>
        <v>0</v>
      </c>
      <c r="C111" s="281">
        <f t="shared" si="112"/>
        <v>0</v>
      </c>
      <c r="D111" s="281">
        <f t="shared" si="112"/>
        <v>0</v>
      </c>
      <c r="E111" s="281">
        <f t="shared" ref="E111:L111" si="113">E49/E$60</f>
        <v>0</v>
      </c>
      <c r="F111" s="281">
        <f t="shared" si="113"/>
        <v>0</v>
      </c>
      <c r="G111" s="281">
        <f t="shared" si="113"/>
        <v>0</v>
      </c>
      <c r="H111" s="281">
        <f t="shared" si="113"/>
        <v>0</v>
      </c>
      <c r="I111" s="281">
        <f t="shared" si="113"/>
        <v>0</v>
      </c>
      <c r="J111" s="281">
        <f t="shared" si="113"/>
        <v>0</v>
      </c>
      <c r="K111" s="281">
        <f t="shared" si="113"/>
        <v>0</v>
      </c>
      <c r="L111" s="281">
        <f t="shared" si="113"/>
        <v>0</v>
      </c>
    </row>
    <row r="112" spans="1:12" x14ac:dyDescent="0.3">
      <c r="A112" s="280" t="str">
        <f t="shared" si="39"/>
        <v>Other Items</v>
      </c>
      <c r="B112" s="281">
        <f t="shared" ref="B112:D112" si="114">B50/B$60</f>
        <v>0</v>
      </c>
      <c r="C112" s="281">
        <f t="shared" si="114"/>
        <v>0</v>
      </c>
      <c r="D112" s="281">
        <f t="shared" si="114"/>
        <v>0</v>
      </c>
      <c r="E112" s="281">
        <f t="shared" ref="E112:L112" si="115">E50/E$60</f>
        <v>0</v>
      </c>
      <c r="F112" s="281">
        <f t="shared" si="115"/>
        <v>0</v>
      </c>
      <c r="G112" s="281">
        <f t="shared" si="115"/>
        <v>0</v>
      </c>
      <c r="H112" s="281">
        <f t="shared" si="115"/>
        <v>0</v>
      </c>
      <c r="I112" s="281">
        <f t="shared" si="115"/>
        <v>0</v>
      </c>
      <c r="J112" s="281">
        <f t="shared" si="115"/>
        <v>0</v>
      </c>
      <c r="K112" s="281">
        <f t="shared" si="115"/>
        <v>0</v>
      </c>
      <c r="L112" s="281">
        <f t="shared" si="115"/>
        <v>0</v>
      </c>
    </row>
    <row r="113" spans="1:12" x14ac:dyDescent="0.3">
      <c r="A113" s="260" t="str">
        <f t="shared" si="39"/>
        <v>Total Non-Current Liabilities</v>
      </c>
      <c r="B113" s="281">
        <f t="shared" ref="B113:D113" si="116">B51/B$60</f>
        <v>1.6738707620533755E-2</v>
      </c>
      <c r="C113" s="281">
        <f t="shared" si="116"/>
        <v>0.10691474236282282</v>
      </c>
      <c r="D113" s="281">
        <f t="shared" si="116"/>
        <v>0.10120268005863566</v>
      </c>
      <c r="E113" s="281">
        <f t="shared" ref="E113:L113" si="117">E51/E$60</f>
        <v>8.6405580415931563E-2</v>
      </c>
      <c r="F113" s="281">
        <f t="shared" si="117"/>
        <v>7.4135188691678858E-2</v>
      </c>
      <c r="G113" s="281">
        <f t="shared" si="117"/>
        <v>6.4068261738335186E-2</v>
      </c>
      <c r="H113" s="281">
        <f t="shared" si="117"/>
        <v>5.6032767884335921E-2</v>
      </c>
      <c r="I113" s="281">
        <f t="shared" si="117"/>
        <v>4.9248632831378841E-2</v>
      </c>
      <c r="J113" s="281">
        <f t="shared" si="117"/>
        <v>4.3518592533523616E-2</v>
      </c>
      <c r="K113" s="281">
        <f t="shared" si="117"/>
        <v>3.8656645143103761E-2</v>
      </c>
      <c r="L113" s="281">
        <f t="shared" si="117"/>
        <v>3.4461750051989246E-2</v>
      </c>
    </row>
    <row r="114" spans="1:12" x14ac:dyDescent="0.3">
      <c r="A114" s="260" t="str">
        <f t="shared" si="39"/>
        <v>Total Liabilities</v>
      </c>
      <c r="B114" s="281">
        <f t="shared" ref="B114:D114" si="118">B52/B$60</f>
        <v>0.31335251577264323</v>
      </c>
      <c r="C114" s="281">
        <f t="shared" si="118"/>
        <v>0.43402833122721479</v>
      </c>
      <c r="D114" s="281">
        <f t="shared" si="118"/>
        <v>0.5524911409727824</v>
      </c>
      <c r="E114" s="281">
        <f t="shared" ref="E114:L114" si="119">E52/E$60</f>
        <v>0.48677693198397504</v>
      </c>
      <c r="F114" s="281">
        <f t="shared" si="119"/>
        <v>0.4341775350600196</v>
      </c>
      <c r="G114" s="281">
        <f t="shared" si="119"/>
        <v>0.39076537604786449</v>
      </c>
      <c r="H114" s="281">
        <f t="shared" si="119"/>
        <v>0.3558670639384478</v>
      </c>
      <c r="I114" s="281">
        <f t="shared" si="119"/>
        <v>0.32676788339261442</v>
      </c>
      <c r="J114" s="281">
        <f t="shared" si="119"/>
        <v>0.30214158746119391</v>
      </c>
      <c r="K114" s="281">
        <f t="shared" si="119"/>
        <v>0.28125938428321451</v>
      </c>
      <c r="L114" s="281">
        <f t="shared" si="119"/>
        <v>0.26333324567231753</v>
      </c>
    </row>
    <row r="115" spans="1:12" x14ac:dyDescent="0.3">
      <c r="A115" s="260"/>
      <c r="B115" s="282"/>
      <c r="C115" s="282"/>
      <c r="D115" s="282"/>
      <c r="E115" s="282"/>
      <c r="F115" s="282"/>
      <c r="G115" s="282"/>
      <c r="H115" s="282"/>
      <c r="I115" s="282"/>
      <c r="J115" s="282"/>
      <c r="K115" s="282"/>
      <c r="L115" s="282"/>
    </row>
    <row r="116" spans="1:12" x14ac:dyDescent="0.3">
      <c r="A116" s="260" t="str">
        <f t="shared" si="39"/>
        <v>Shareholder'S Equity:</v>
      </c>
      <c r="B116" s="282"/>
      <c r="C116" s="282"/>
      <c r="D116" s="282"/>
      <c r="E116" s="282"/>
      <c r="F116" s="282"/>
      <c r="G116" s="282"/>
      <c r="H116" s="282"/>
      <c r="I116" s="282"/>
      <c r="J116" s="282"/>
      <c r="K116" s="282"/>
      <c r="L116" s="282"/>
    </row>
    <row r="117" spans="1:12" x14ac:dyDescent="0.3">
      <c r="A117" s="280" t="str">
        <f t="shared" si="39"/>
        <v>Share Capital</v>
      </c>
      <c r="B117" s="281">
        <f>B55/B$60</f>
        <v>3.849838668849791E-3</v>
      </c>
      <c r="C117" s="281">
        <f t="shared" ref="C117:D117" si="120">C55/C$60</f>
        <v>3.0667297439631331E-3</v>
      </c>
      <c r="D117" s="281">
        <f t="shared" si="120"/>
        <v>3.0079487762181005E-3</v>
      </c>
      <c r="E117" s="281">
        <f t="shared" ref="E117:L117" si="121">E55/E$60</f>
        <v>2.5681489830104392E-3</v>
      </c>
      <c r="F117" s="281">
        <f t="shared" si="121"/>
        <v>2.2034480704526084E-3</v>
      </c>
      <c r="G117" s="281">
        <f t="shared" si="121"/>
        <v>1.9042385970271735E-3</v>
      </c>
      <c r="H117" s="281">
        <f t="shared" si="121"/>
        <v>1.6654074327690617E-3</v>
      </c>
      <c r="I117" s="281">
        <f t="shared" si="121"/>
        <v>1.4637691884220011E-3</v>
      </c>
      <c r="J117" s="281">
        <f t="shared" si="121"/>
        <v>1.29346077671168E-3</v>
      </c>
      <c r="K117" s="281">
        <f t="shared" si="121"/>
        <v>1.1489538457235191E-3</v>
      </c>
      <c r="L117" s="281">
        <f t="shared" si="121"/>
        <v>1.0242730611003206E-3</v>
      </c>
    </row>
    <row r="118" spans="1:12" x14ac:dyDescent="0.3">
      <c r="A118" s="280" t="str">
        <f t="shared" si="39"/>
        <v>Reserves And Surplus</v>
      </c>
      <c r="B118" s="281">
        <f t="shared" ref="B118:D118" si="122">B56/B$60</f>
        <v>0.67756199313661725</v>
      </c>
      <c r="C118" s="281">
        <f t="shared" si="122"/>
        <v>0.55835903818174171</v>
      </c>
      <c r="D118" s="281">
        <f t="shared" si="122"/>
        <v>0.43996339017927821</v>
      </c>
      <c r="E118" s="281">
        <f t="shared" ref="E118:L118" si="123">E56/E$60</f>
        <v>0.50678084123963141</v>
      </c>
      <c r="F118" s="281">
        <f t="shared" si="123"/>
        <v>0.56029509396042654</v>
      </c>
      <c r="G118" s="281">
        <f t="shared" si="123"/>
        <v>0.60445782285548322</v>
      </c>
      <c r="H118" s="281">
        <f t="shared" si="123"/>
        <v>0.63995524527025971</v>
      </c>
      <c r="I118" s="281">
        <f t="shared" si="123"/>
        <v>0.66956023731903602</v>
      </c>
      <c r="J118" s="281">
        <f t="shared" si="123"/>
        <v>0.69461375356260491</v>
      </c>
      <c r="K118" s="281">
        <f t="shared" si="123"/>
        <v>0.71585845378664548</v>
      </c>
      <c r="L118" s="281">
        <f t="shared" si="123"/>
        <v>0.73409735536204146</v>
      </c>
    </row>
    <row r="119" spans="1:12" x14ac:dyDescent="0.3">
      <c r="A119" s="260" t="str">
        <f t="shared" si="39"/>
        <v>Total Shareholder'S Equity</v>
      </c>
      <c r="B119" s="281">
        <f t="shared" ref="B119:D119" si="124">B57/B$60</f>
        <v>0.68141183180546705</v>
      </c>
      <c r="C119" s="281">
        <f t="shared" si="124"/>
        <v>0.56142576792570487</v>
      </c>
      <c r="D119" s="281">
        <f t="shared" si="124"/>
        <v>0.44297133895549634</v>
      </c>
      <c r="E119" s="281">
        <f t="shared" ref="E119:L119" si="125">E57/E$60</f>
        <v>0.5093489902226418</v>
      </c>
      <c r="F119" s="281">
        <f t="shared" si="125"/>
        <v>0.56249854203087923</v>
      </c>
      <c r="G119" s="281">
        <f t="shared" si="125"/>
        <v>0.60636206145251037</v>
      </c>
      <c r="H119" s="281">
        <f t="shared" si="125"/>
        <v>0.64162065270302882</v>
      </c>
      <c r="I119" s="281">
        <f t="shared" si="125"/>
        <v>0.67102400650745797</v>
      </c>
      <c r="J119" s="281">
        <f t="shared" si="125"/>
        <v>0.69590721433931668</v>
      </c>
      <c r="K119" s="281">
        <f t="shared" si="125"/>
        <v>0.71700740763236903</v>
      </c>
      <c r="L119" s="281">
        <f t="shared" si="125"/>
        <v>0.73512162842314177</v>
      </c>
    </row>
    <row r="120" spans="1:12" x14ac:dyDescent="0.3">
      <c r="A120" s="280" t="str">
        <f t="shared" si="39"/>
        <v>Minority Interest</v>
      </c>
      <c r="B120" s="281">
        <f t="shared" ref="B120:D120" si="126">B58/B$60</f>
        <v>5.2356524218897691E-3</v>
      </c>
      <c r="C120" s="281">
        <f t="shared" si="126"/>
        <v>4.5459008470804859E-3</v>
      </c>
      <c r="D120" s="281">
        <f t="shared" si="126"/>
        <v>4.5375200717212858E-3</v>
      </c>
      <c r="E120" s="281">
        <f t="shared" ref="E120:L120" si="127">E58/E$60</f>
        <v>3.8740777933831201E-3</v>
      </c>
      <c r="F120" s="281">
        <f t="shared" si="127"/>
        <v>3.3239229091011949E-3</v>
      </c>
      <c r="G120" s="281">
        <f t="shared" si="127"/>
        <v>2.8725624996250513E-3</v>
      </c>
      <c r="H120" s="281">
        <f t="shared" si="127"/>
        <v>2.5122833585233587E-3</v>
      </c>
      <c r="I120" s="281">
        <f t="shared" si="127"/>
        <v>2.208110099927585E-3</v>
      </c>
      <c r="J120" s="281">
        <f t="shared" si="127"/>
        <v>1.9511981994895168E-3</v>
      </c>
      <c r="K120" s="281">
        <f t="shared" si="127"/>
        <v>1.7332080844164671E-3</v>
      </c>
      <c r="L120" s="281">
        <f t="shared" si="127"/>
        <v>1.5451259045407078E-3</v>
      </c>
    </row>
    <row r="121" spans="1:12" x14ac:dyDescent="0.3">
      <c r="A121" s="260" t="str">
        <f t="shared" si="39"/>
        <v>Total Equity</v>
      </c>
      <c r="B121" s="281">
        <f t="shared" ref="B121:D121" si="128">B59/B$60</f>
        <v>0.68664748422735689</v>
      </c>
      <c r="C121" s="281">
        <f t="shared" si="128"/>
        <v>0.56597166877278526</v>
      </c>
      <c r="D121" s="281">
        <f t="shared" si="128"/>
        <v>0.44750885902721765</v>
      </c>
      <c r="E121" s="281">
        <f t="shared" ref="E121:L121" si="129">E59/E$60</f>
        <v>0.51322306801602502</v>
      </c>
      <c r="F121" s="281">
        <f t="shared" si="129"/>
        <v>0.56582246493998045</v>
      </c>
      <c r="G121" s="281">
        <f t="shared" si="129"/>
        <v>0.60923462395213546</v>
      </c>
      <c r="H121" s="281">
        <f t="shared" si="129"/>
        <v>0.6441329360615522</v>
      </c>
      <c r="I121" s="281">
        <f t="shared" si="129"/>
        <v>0.67323211660738558</v>
      </c>
      <c r="J121" s="281">
        <f t="shared" si="129"/>
        <v>0.69785841253880621</v>
      </c>
      <c r="K121" s="281">
        <f t="shared" si="129"/>
        <v>0.71874061571678549</v>
      </c>
      <c r="L121" s="281">
        <f t="shared" si="129"/>
        <v>0.73666675432768247</v>
      </c>
    </row>
    <row r="122" spans="1:12" x14ac:dyDescent="0.3">
      <c r="A122" s="260" t="str">
        <f t="shared" si="39"/>
        <v>Total Liabilities And Equity</v>
      </c>
      <c r="B122" s="281">
        <f t="shared" ref="B122:D122" si="130">B60/B$60</f>
        <v>1</v>
      </c>
      <c r="C122" s="281">
        <f t="shared" si="130"/>
        <v>1</v>
      </c>
      <c r="D122" s="281">
        <f t="shared" si="130"/>
        <v>1</v>
      </c>
      <c r="E122" s="281">
        <f t="shared" ref="E122:L122" si="131">E60/E$60</f>
        <v>1</v>
      </c>
      <c r="F122" s="281">
        <f t="shared" si="131"/>
        <v>1</v>
      </c>
      <c r="G122" s="281">
        <f t="shared" si="131"/>
        <v>1</v>
      </c>
      <c r="H122" s="281">
        <f t="shared" si="131"/>
        <v>1</v>
      </c>
      <c r="I122" s="281">
        <f t="shared" si="131"/>
        <v>1</v>
      </c>
      <c r="J122" s="281">
        <f t="shared" si="131"/>
        <v>1</v>
      </c>
      <c r="K122" s="281">
        <f t="shared" si="131"/>
        <v>1</v>
      </c>
      <c r="L122" s="281">
        <f t="shared" si="131"/>
        <v>1</v>
      </c>
    </row>
    <row r="123" spans="1:12" x14ac:dyDescent="0.3">
      <c r="A123" s="258"/>
    </row>
    <row r="124" spans="1:12" x14ac:dyDescent="0.3">
      <c r="A124" s="258"/>
    </row>
    <row r="125" spans="1:12" x14ac:dyDescent="0.3">
      <c r="A125" s="258"/>
    </row>
    <row r="126" spans="1:12" x14ac:dyDescent="0.3">
      <c r="A126" s="258"/>
    </row>
    <row r="127" spans="1:12" x14ac:dyDescent="0.3">
      <c r="A127" s="258"/>
    </row>
    <row r="128" spans="1:12" x14ac:dyDescent="0.3">
      <c r="A128" s="258"/>
    </row>
    <row r="129" spans="1:1" x14ac:dyDescent="0.3">
      <c r="A129" s="258"/>
    </row>
    <row r="130" spans="1:1" x14ac:dyDescent="0.3">
      <c r="A130" s="258"/>
    </row>
    <row r="131" spans="1:1" x14ac:dyDescent="0.3">
      <c r="A131" s="258"/>
    </row>
    <row r="132" spans="1:1" x14ac:dyDescent="0.3">
      <c r="A132" s="258"/>
    </row>
  </sheetData>
  <pageMargins left="0.7" right="0.7" top="0.75" bottom="0.75" header="0.3" footer="0.3"/>
  <pageSetup paperSize="8" scale="67"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7E9C3"/>
  </sheetPr>
  <dimension ref="A1:M86"/>
  <sheetViews>
    <sheetView showGridLines="0" zoomScale="70" zoomScaleNormal="70" workbookViewId="0">
      <pane xSplit="1" ySplit="5" topLeftCell="B47" activePane="bottomRight" state="frozen"/>
      <selection activeCell="A32" sqref="A32"/>
      <selection pane="topRight" activeCell="A32" sqref="A32"/>
      <selection pane="bottomLeft" activeCell="A32" sqref="A32"/>
      <selection pane="bottomRight" activeCell="B42" sqref="B42"/>
    </sheetView>
  </sheetViews>
  <sheetFormatPr defaultColWidth="9.109375" defaultRowHeight="15" x14ac:dyDescent="0.25"/>
  <cols>
    <col min="1" max="1" width="93" style="122" bestFit="1" customWidth="1"/>
    <col min="2" max="12" width="12.77734375" style="128" customWidth="1"/>
    <col min="13" max="16384" width="9.109375" style="61"/>
  </cols>
  <sheetData>
    <row r="1" spans="1:13" s="2" customFormat="1" ht="33.75" customHeight="1" x14ac:dyDescent="0.3">
      <c r="A1" s="51" t="str">
        <f>Dashboard!A1</f>
        <v>[Britannia LTD.]</v>
      </c>
      <c r="B1" s="55"/>
      <c r="C1" s="55"/>
      <c r="D1" s="55"/>
      <c r="E1" s="55"/>
      <c r="F1" s="55"/>
      <c r="G1" s="55"/>
      <c r="H1" s="55"/>
      <c r="I1" s="55"/>
      <c r="J1" s="55"/>
      <c r="K1" s="55"/>
      <c r="L1" s="55"/>
      <c r="M1" s="1"/>
    </row>
    <row r="2" spans="1:13" s="2" customFormat="1" ht="20.25" customHeight="1" x14ac:dyDescent="0.3">
      <c r="A2" s="52" t="s">
        <v>3</v>
      </c>
      <c r="B2" s="54"/>
      <c r="C2" s="54"/>
      <c r="D2" s="54"/>
      <c r="E2" s="54"/>
      <c r="F2" s="54"/>
      <c r="G2" s="54"/>
      <c r="H2" s="54"/>
      <c r="I2" s="54"/>
      <c r="J2" s="54"/>
      <c r="K2" s="54"/>
      <c r="L2" s="54"/>
      <c r="M2" s="1"/>
    </row>
    <row r="3" spans="1:13" s="2" customFormat="1" ht="13.8" x14ac:dyDescent="0.3">
      <c r="A3" s="2" t="s">
        <v>74</v>
      </c>
      <c r="B3" s="56"/>
      <c r="C3" s="56"/>
      <c r="D3" s="56"/>
      <c r="E3" s="56"/>
      <c r="F3" s="56"/>
      <c r="G3" s="56"/>
      <c r="H3" s="56"/>
      <c r="I3" s="56"/>
      <c r="J3" s="56"/>
      <c r="K3" s="56"/>
      <c r="L3" s="56"/>
      <c r="M3" s="1"/>
    </row>
    <row r="4" spans="1:13" s="2" customFormat="1" ht="13.8" x14ac:dyDescent="0.3">
      <c r="A4" s="7"/>
      <c r="B4" s="3"/>
      <c r="C4" s="3"/>
      <c r="D4" s="3"/>
      <c r="E4" s="3"/>
      <c r="F4" s="3"/>
      <c r="G4" s="3"/>
      <c r="H4" s="3"/>
      <c r="I4" s="3"/>
      <c r="J4" s="3"/>
      <c r="K4" s="3"/>
      <c r="L4" s="3"/>
    </row>
    <row r="5" spans="1:13" ht="15.6" x14ac:dyDescent="0.25">
      <c r="A5" s="208" t="str">
        <f>Assumptions!A5</f>
        <v>Particular</v>
      </c>
      <c r="B5" s="208" t="str">
        <f>Assumptions!B5</f>
        <v>FY2019 A</v>
      </c>
      <c r="C5" s="208" t="str">
        <f>Assumptions!C5</f>
        <v>FY2020 A</v>
      </c>
      <c r="D5" s="208" t="str">
        <f>Assumptions!D5</f>
        <v>FY2021 A</v>
      </c>
      <c r="E5" s="208" t="str">
        <f>Assumptions!E5</f>
        <v>FY2022 E</v>
      </c>
      <c r="F5" s="208" t="str">
        <f>Assumptions!F5</f>
        <v>FY2023 E</v>
      </c>
      <c r="G5" s="208" t="str">
        <f>Assumptions!G5</f>
        <v>FY2024 E</v>
      </c>
      <c r="H5" s="208" t="str">
        <f>Assumptions!H5</f>
        <v>FY2025 E</v>
      </c>
      <c r="I5" s="208" t="str">
        <f>Assumptions!I5</f>
        <v>FY2026 E</v>
      </c>
      <c r="J5" s="208" t="str">
        <f>Assumptions!J5</f>
        <v>FY2027 E</v>
      </c>
      <c r="K5" s="208" t="str">
        <f>Assumptions!K5</f>
        <v>FY2028 E</v>
      </c>
      <c r="L5" s="208" t="str">
        <f>Assumptions!L5</f>
        <v>FY2029 E</v>
      </c>
    </row>
    <row r="6" spans="1:13" ht="15.6" x14ac:dyDescent="0.3">
      <c r="A6" s="209" t="s">
        <v>115</v>
      </c>
      <c r="B6" s="210"/>
      <c r="C6" s="210"/>
      <c r="D6" s="210"/>
      <c r="E6" s="210"/>
      <c r="F6" s="210"/>
      <c r="G6" s="210"/>
      <c r="H6" s="210"/>
      <c r="I6" s="210"/>
      <c r="J6" s="210"/>
      <c r="K6" s="210"/>
      <c r="L6" s="210"/>
    </row>
    <row r="7" spans="1:13" x14ac:dyDescent="0.25">
      <c r="A7" s="211" t="s">
        <v>116</v>
      </c>
      <c r="B7" s="225">
        <v>1768.9</v>
      </c>
      <c r="C7" s="225">
        <v>1843.86</v>
      </c>
      <c r="D7" s="225">
        <v>2512.8000000000002</v>
      </c>
      <c r="E7" s="212">
        <f>'Income Statement'!E31</f>
        <v>2390.1465239526151</v>
      </c>
      <c r="F7" s="212">
        <f>'Income Statement'!F31</f>
        <v>2665.4403706128842</v>
      </c>
      <c r="G7" s="212">
        <f>'Income Statement'!G31</f>
        <v>2968.3132671863077</v>
      </c>
      <c r="H7" s="212">
        <f>'Income Statement'!H31</f>
        <v>3132.7307001805866</v>
      </c>
      <c r="I7" s="212">
        <f>'Income Statement'!I31</f>
        <v>3430.724152397479</v>
      </c>
      <c r="J7" s="212">
        <f>'Income Statement'!J31</f>
        <v>3735.0599967267185</v>
      </c>
      <c r="K7" s="212">
        <f>'Income Statement'!K31</f>
        <v>4034.6707700235547</v>
      </c>
      <c r="L7" s="212">
        <f>'Income Statement'!L31</f>
        <v>4392.5965512880448</v>
      </c>
    </row>
    <row r="8" spans="1:13" ht="15.6" x14ac:dyDescent="0.3">
      <c r="A8" s="213" t="s">
        <v>117</v>
      </c>
      <c r="B8" s="222">
        <v>0</v>
      </c>
      <c r="C8" s="222">
        <v>0</v>
      </c>
      <c r="D8" s="222">
        <v>0</v>
      </c>
      <c r="E8" s="215"/>
      <c r="F8" s="215"/>
      <c r="G8" s="215"/>
      <c r="H8" s="215"/>
      <c r="I8" s="215"/>
      <c r="J8" s="215"/>
      <c r="K8" s="215"/>
      <c r="L8" s="215"/>
    </row>
    <row r="9" spans="1:13" ht="15.6" x14ac:dyDescent="0.3">
      <c r="A9" s="220" t="s">
        <v>33</v>
      </c>
      <c r="B9" s="225">
        <v>161.88</v>
      </c>
      <c r="C9" s="225">
        <v>184.81</v>
      </c>
      <c r="D9" s="225">
        <v>197.85</v>
      </c>
      <c r="E9" s="215">
        <f>'Income Statement'!E24*-1</f>
        <v>224.9742130170257</v>
      </c>
      <c r="F9" s="215">
        <f>'Income Statement'!F24*-1</f>
        <v>236.31508934085034</v>
      </c>
      <c r="G9" s="215">
        <f>'Income Statement'!G24*-1</f>
        <v>254.5226636434582</v>
      </c>
      <c r="H9" s="215">
        <f>'Income Statement'!H24*-1</f>
        <v>278.34894691969811</v>
      </c>
      <c r="I9" s="215">
        <f>'Income Statement'!I24*-1</f>
        <v>299.15393819081424</v>
      </c>
      <c r="J9" s="215">
        <f>'Income Statement'!J24*-1</f>
        <v>324.00670008834675</v>
      </c>
      <c r="K9" s="215">
        <f>'Income Statement'!K24*-1</f>
        <v>351.54262524391225</v>
      </c>
      <c r="L9" s="215">
        <f>'Income Statement'!L24*-1</f>
        <v>380.38169755964668</v>
      </c>
    </row>
    <row r="10" spans="1:13" ht="15.6" x14ac:dyDescent="0.3">
      <c r="A10" s="220" t="s">
        <v>322</v>
      </c>
      <c r="B10" s="225">
        <v>-0.97</v>
      </c>
      <c r="C10" s="225">
        <v>-0.11</v>
      </c>
      <c r="D10" s="225">
        <v>-0.33</v>
      </c>
      <c r="E10" s="215">
        <v>0</v>
      </c>
      <c r="F10" s="215">
        <v>0</v>
      </c>
      <c r="G10" s="215">
        <v>0</v>
      </c>
      <c r="H10" s="215">
        <v>0</v>
      </c>
      <c r="I10" s="215">
        <v>0</v>
      </c>
      <c r="J10" s="215">
        <v>0</v>
      </c>
      <c r="K10" s="215">
        <v>0</v>
      </c>
      <c r="L10" s="215">
        <v>0</v>
      </c>
    </row>
    <row r="11" spans="1:13" ht="15.6" x14ac:dyDescent="0.3">
      <c r="A11" s="220" t="s">
        <v>118</v>
      </c>
      <c r="B11" s="225">
        <v>0</v>
      </c>
      <c r="C11" s="225">
        <v>0</v>
      </c>
      <c r="D11" s="225">
        <v>0</v>
      </c>
      <c r="E11" s="215">
        <v>0</v>
      </c>
      <c r="F11" s="215">
        <v>0</v>
      </c>
      <c r="G11" s="215">
        <v>0</v>
      </c>
      <c r="H11" s="215">
        <v>0</v>
      </c>
      <c r="I11" s="215">
        <v>0</v>
      </c>
      <c r="J11" s="215">
        <v>0</v>
      </c>
      <c r="K11" s="215">
        <v>0</v>
      </c>
      <c r="L11" s="215">
        <v>0</v>
      </c>
    </row>
    <row r="12" spans="1:13" ht="15.6" x14ac:dyDescent="0.3">
      <c r="A12" s="220" t="s">
        <v>119</v>
      </c>
      <c r="B12" s="225">
        <v>0</v>
      </c>
      <c r="C12" s="225">
        <v>0</v>
      </c>
      <c r="D12" s="225">
        <v>0</v>
      </c>
      <c r="E12" s="215">
        <v>0</v>
      </c>
      <c r="F12" s="215">
        <v>0</v>
      </c>
      <c r="G12" s="215">
        <v>0</v>
      </c>
      <c r="H12" s="215">
        <v>0</v>
      </c>
      <c r="I12" s="215">
        <v>0</v>
      </c>
      <c r="J12" s="215">
        <v>0</v>
      </c>
      <c r="K12" s="215">
        <v>0</v>
      </c>
      <c r="L12" s="215">
        <v>0</v>
      </c>
    </row>
    <row r="13" spans="1:13" ht="15.6" x14ac:dyDescent="0.3">
      <c r="A13" s="220" t="s">
        <v>120</v>
      </c>
      <c r="B13" s="225">
        <v>0</v>
      </c>
      <c r="C13" s="225">
        <v>0</v>
      </c>
      <c r="D13" s="225">
        <v>0</v>
      </c>
      <c r="E13" s="215">
        <v>0</v>
      </c>
      <c r="F13" s="215">
        <v>0</v>
      </c>
      <c r="G13" s="215">
        <v>0</v>
      </c>
      <c r="H13" s="215">
        <v>0</v>
      </c>
      <c r="I13" s="215">
        <v>0</v>
      </c>
      <c r="J13" s="215">
        <v>0</v>
      </c>
      <c r="K13" s="215">
        <v>0</v>
      </c>
      <c r="L13" s="215">
        <v>0</v>
      </c>
    </row>
    <row r="14" spans="1:13" ht="15.6" x14ac:dyDescent="0.3">
      <c r="A14" s="220" t="s">
        <v>121</v>
      </c>
      <c r="B14" s="225">
        <v>0</v>
      </c>
      <c r="C14" s="225">
        <v>0</v>
      </c>
      <c r="D14" s="225">
        <v>0</v>
      </c>
      <c r="E14" s="215">
        <v>0</v>
      </c>
      <c r="F14" s="215">
        <v>0</v>
      </c>
      <c r="G14" s="215">
        <v>0</v>
      </c>
      <c r="H14" s="215">
        <v>0</v>
      </c>
      <c r="I14" s="215">
        <v>0</v>
      </c>
      <c r="J14" s="215">
        <v>0</v>
      </c>
      <c r="K14" s="215">
        <v>0</v>
      </c>
      <c r="L14" s="215">
        <v>0</v>
      </c>
    </row>
    <row r="15" spans="1:13" ht="15.6" x14ac:dyDescent="0.3">
      <c r="A15" s="220" t="s">
        <v>122</v>
      </c>
      <c r="B15" s="225">
        <v>-136.77000000000001</v>
      </c>
      <c r="C15" s="225">
        <v>-176.77</v>
      </c>
      <c r="D15" s="225">
        <v>-234.66</v>
      </c>
      <c r="E15" s="215">
        <f>-'Income Statement'!E27</f>
        <v>-313</v>
      </c>
      <c r="F15" s="215">
        <f>-'Income Statement'!F27</f>
        <v>-313</v>
      </c>
      <c r="G15" s="215">
        <f>-'Income Statement'!G27</f>
        <v>-313</v>
      </c>
      <c r="H15" s="215">
        <f>-'Income Statement'!H27</f>
        <v>-313</v>
      </c>
      <c r="I15" s="215">
        <f>-'Income Statement'!I27</f>
        <v>-313</v>
      </c>
      <c r="J15" s="215">
        <f>-'Income Statement'!J27</f>
        <v>-313</v>
      </c>
      <c r="K15" s="215">
        <f>-'Income Statement'!K27</f>
        <v>-313</v>
      </c>
      <c r="L15" s="215">
        <f>-'Income Statement'!L27</f>
        <v>-313</v>
      </c>
    </row>
    <row r="16" spans="1:13" ht="15.6" x14ac:dyDescent="0.3">
      <c r="A16" s="220" t="s">
        <v>300</v>
      </c>
      <c r="B16" s="225">
        <v>0</v>
      </c>
      <c r="C16" s="225">
        <v>0</v>
      </c>
      <c r="D16" s="225">
        <v>0</v>
      </c>
      <c r="E16" s="215">
        <v>0</v>
      </c>
      <c r="F16" s="215">
        <v>0</v>
      </c>
      <c r="G16" s="215">
        <v>0</v>
      </c>
      <c r="H16" s="215">
        <v>0</v>
      </c>
      <c r="I16" s="215">
        <v>0</v>
      </c>
      <c r="J16" s="215">
        <v>0</v>
      </c>
      <c r="K16" s="215">
        <v>0</v>
      </c>
      <c r="L16" s="215">
        <v>0</v>
      </c>
    </row>
    <row r="17" spans="1:12" ht="15.6" x14ac:dyDescent="0.3">
      <c r="A17" s="220" t="s">
        <v>301</v>
      </c>
      <c r="B17" s="225">
        <v>-63.85</v>
      </c>
      <c r="C17" s="225">
        <v>-89.88</v>
      </c>
      <c r="D17" s="225">
        <v>-65.47</v>
      </c>
      <c r="E17" s="215">
        <v>0</v>
      </c>
      <c r="F17" s="215">
        <v>0</v>
      </c>
      <c r="G17" s="215">
        <v>0</v>
      </c>
      <c r="H17" s="215">
        <v>0</v>
      </c>
      <c r="I17" s="215">
        <v>0</v>
      </c>
      <c r="J17" s="215">
        <v>0</v>
      </c>
      <c r="K17" s="215">
        <v>0</v>
      </c>
      <c r="L17" s="215">
        <v>0</v>
      </c>
    </row>
    <row r="18" spans="1:12" ht="15.6" x14ac:dyDescent="0.3">
      <c r="A18" s="220" t="s">
        <v>302</v>
      </c>
      <c r="B18" s="225">
        <v>0</v>
      </c>
      <c r="C18" s="225">
        <v>0</v>
      </c>
      <c r="D18" s="225">
        <v>0</v>
      </c>
      <c r="E18" s="215">
        <v>0</v>
      </c>
      <c r="F18" s="215">
        <v>0</v>
      </c>
      <c r="G18" s="215">
        <v>0</v>
      </c>
      <c r="H18" s="215">
        <v>0</v>
      </c>
      <c r="I18" s="215">
        <v>0</v>
      </c>
      <c r="J18" s="215">
        <v>0</v>
      </c>
      <c r="K18" s="215">
        <v>0</v>
      </c>
      <c r="L18" s="215">
        <v>0</v>
      </c>
    </row>
    <row r="19" spans="1:12" ht="15.6" x14ac:dyDescent="0.3">
      <c r="A19" s="220" t="s">
        <v>303</v>
      </c>
      <c r="B19" s="225">
        <v>9.09</v>
      </c>
      <c r="C19" s="225">
        <v>76.900000000000006</v>
      </c>
      <c r="D19" s="225">
        <v>110.9</v>
      </c>
      <c r="E19" s="215">
        <f>'Income Statement'!E26*-1</f>
        <v>118.1234511598866</v>
      </c>
      <c r="F19" s="215">
        <f>'Income Statement'!F26*-1</f>
        <v>111.67758203243537</v>
      </c>
      <c r="G19" s="215">
        <f>'Income Statement'!G26*-1</f>
        <v>113.56701106410733</v>
      </c>
      <c r="H19" s="215">
        <f>'Income Statement'!H26*-1</f>
        <v>114.4560147521431</v>
      </c>
      <c r="I19" s="215">
        <f>'Income Statement'!I26*-1</f>
        <v>113.23353594956194</v>
      </c>
      <c r="J19" s="215">
        <f>'Income Statement'!J26*-1</f>
        <v>113.75218725527078</v>
      </c>
      <c r="K19" s="215">
        <f>'Income Statement'!K26*-1</f>
        <v>113.81391265232527</v>
      </c>
      <c r="L19" s="215">
        <f>'Income Statement'!L26*-1</f>
        <v>113.59987861905267</v>
      </c>
    </row>
    <row r="20" spans="1:12" ht="15.6" x14ac:dyDescent="0.3">
      <c r="A20" s="220" t="s">
        <v>323</v>
      </c>
      <c r="B20" s="225">
        <v>16.12</v>
      </c>
      <c r="C20" s="225">
        <v>21.58</v>
      </c>
      <c r="D20" s="225">
        <v>18.940000000000001</v>
      </c>
      <c r="E20" s="215">
        <v>0</v>
      </c>
      <c r="F20" s="215">
        <v>0</v>
      </c>
      <c r="G20" s="215">
        <v>0</v>
      </c>
      <c r="H20" s="215">
        <v>0</v>
      </c>
      <c r="I20" s="215">
        <v>0</v>
      </c>
      <c r="J20" s="215">
        <v>0</v>
      </c>
      <c r="K20" s="215">
        <v>0</v>
      </c>
      <c r="L20" s="215">
        <v>0</v>
      </c>
    </row>
    <row r="21" spans="1:12" ht="15.6" x14ac:dyDescent="0.3">
      <c r="A21" s="220" t="s">
        <v>145</v>
      </c>
      <c r="B21" s="225">
        <v>0</v>
      </c>
      <c r="C21" s="225">
        <v>0</v>
      </c>
      <c r="D21" s="225">
        <v>0</v>
      </c>
      <c r="E21" s="215">
        <v>0</v>
      </c>
      <c r="F21" s="215">
        <v>0</v>
      </c>
      <c r="G21" s="215">
        <v>0</v>
      </c>
      <c r="H21" s="215">
        <v>0</v>
      </c>
      <c r="I21" s="215">
        <v>0</v>
      </c>
      <c r="J21" s="215">
        <v>0</v>
      </c>
      <c r="K21" s="215">
        <v>0</v>
      </c>
      <c r="L21" s="215">
        <v>0</v>
      </c>
    </row>
    <row r="22" spans="1:12" ht="15.6" x14ac:dyDescent="0.3">
      <c r="A22" s="221" t="s">
        <v>304</v>
      </c>
      <c r="B22" s="222">
        <v>0</v>
      </c>
      <c r="C22" s="222">
        <v>0</v>
      </c>
      <c r="D22" s="222">
        <v>0</v>
      </c>
      <c r="E22" s="215"/>
      <c r="F22" s="215"/>
      <c r="G22" s="215"/>
      <c r="H22" s="215"/>
      <c r="I22" s="215"/>
      <c r="J22" s="215"/>
      <c r="K22" s="215"/>
      <c r="L22" s="215"/>
    </row>
    <row r="23" spans="1:12" ht="15.6" x14ac:dyDescent="0.3">
      <c r="A23" s="220" t="s">
        <v>123</v>
      </c>
      <c r="B23" s="225">
        <v>-127.21</v>
      </c>
      <c r="C23" s="225">
        <v>42.99</v>
      </c>
      <c r="D23" s="225">
        <v>-351.44</v>
      </c>
      <c r="E23" s="215">
        <f>'Balance Sheet'!D12-'Balance Sheet'!E12</f>
        <v>66.035982594319194</v>
      </c>
      <c r="F23" s="215">
        <f>'Balance Sheet'!E12-'Balance Sheet'!F12</f>
        <v>-97.255321926294982</v>
      </c>
      <c r="G23" s="215">
        <f>'Balance Sheet'!F12-'Balance Sheet'!G12</f>
        <v>-155.73811754218377</v>
      </c>
      <c r="H23" s="215">
        <f>'Balance Sheet'!G12-'Balance Sheet'!H12</f>
        <v>-72.636970600938184</v>
      </c>
      <c r="I23" s="215">
        <f>'Balance Sheet'!H12-'Balance Sheet'!I12</f>
        <v>-130.21375973465319</v>
      </c>
      <c r="J23" s="215">
        <f>'Balance Sheet'!I12-'Balance Sheet'!J12</f>
        <v>-143.53182632134303</v>
      </c>
      <c r="K23" s="215">
        <f>'Balance Sheet'!J12-'Balance Sheet'!K12</f>
        <v>-135.35101836046465</v>
      </c>
      <c r="L23" s="215">
        <f>'Balance Sheet'!K12-'Balance Sheet'!L12</f>
        <v>-162.26130730092791</v>
      </c>
    </row>
    <row r="24" spans="1:12" ht="15.6" x14ac:dyDescent="0.3">
      <c r="A24" s="220" t="s">
        <v>124</v>
      </c>
      <c r="B24" s="225">
        <v>-86.67</v>
      </c>
      <c r="C24" s="225">
        <v>78.849999999999994</v>
      </c>
      <c r="D24" s="225">
        <v>61.4</v>
      </c>
      <c r="E24" s="215">
        <f>'Balance Sheet'!D11-'Balance Sheet'!E11</f>
        <v>-115.26419528707868</v>
      </c>
      <c r="F24" s="215">
        <f>'Balance Sheet'!E11-'Balance Sheet'!F11</f>
        <v>5.5043801062311104E-2</v>
      </c>
      <c r="G24" s="215">
        <f>'Balance Sheet'!F11-'Balance Sheet'!G11</f>
        <v>-15.929275965778288</v>
      </c>
      <c r="H24" s="215">
        <f>'Balance Sheet'!G11-'Balance Sheet'!H11</f>
        <v>-59.721799627183998</v>
      </c>
      <c r="I24" s="215">
        <f>'Balance Sheet'!H11-'Balance Sheet'!I11</f>
        <v>-29.01974147326888</v>
      </c>
      <c r="J24" s="215">
        <f>'Balance Sheet'!I11-'Balance Sheet'!J11</f>
        <v>-41.073693364658766</v>
      </c>
      <c r="K24" s="215">
        <f>'Balance Sheet'!J11-'Balance Sheet'!K11</f>
        <v>-52.396808723864069</v>
      </c>
      <c r="L24" s="215">
        <f>'Balance Sheet'!K11-'Balance Sheet'!L11</f>
        <v>-47.902265041187547</v>
      </c>
    </row>
    <row r="25" spans="1:12" ht="15.6" x14ac:dyDescent="0.3">
      <c r="A25" s="220" t="s">
        <v>125</v>
      </c>
      <c r="B25" s="225">
        <v>0</v>
      </c>
      <c r="C25" s="225">
        <v>0</v>
      </c>
      <c r="D25" s="225">
        <v>0</v>
      </c>
      <c r="E25" s="215">
        <v>0</v>
      </c>
      <c r="F25" s="215">
        <v>0</v>
      </c>
      <c r="G25" s="215">
        <v>0</v>
      </c>
      <c r="H25" s="215">
        <v>0</v>
      </c>
      <c r="I25" s="215">
        <v>0</v>
      </c>
      <c r="J25" s="215">
        <v>0</v>
      </c>
      <c r="K25" s="215">
        <v>0</v>
      </c>
      <c r="L25" s="215">
        <v>0</v>
      </c>
    </row>
    <row r="26" spans="1:12" ht="15.6" x14ac:dyDescent="0.3">
      <c r="A26" s="220" t="s">
        <v>126</v>
      </c>
      <c r="B26" s="225">
        <v>10.9</v>
      </c>
      <c r="C26" s="225">
        <v>-23.66</v>
      </c>
      <c r="D26" s="225">
        <v>-170.82</v>
      </c>
      <c r="E26" s="215">
        <f>'Balance Sheet'!D14-'Balance Sheet'!E14</f>
        <v>0</v>
      </c>
      <c r="F26" s="215">
        <f>'Balance Sheet'!E14-'Balance Sheet'!F14</f>
        <v>0</v>
      </c>
      <c r="G26" s="215">
        <f>'Balance Sheet'!F14-'Balance Sheet'!G14</f>
        <v>0</v>
      </c>
      <c r="H26" s="215">
        <f>'Balance Sheet'!G14-'Balance Sheet'!H14</f>
        <v>0</v>
      </c>
      <c r="I26" s="215">
        <f>'Balance Sheet'!H14-'Balance Sheet'!I14</f>
        <v>0</v>
      </c>
      <c r="J26" s="215">
        <f>'Balance Sheet'!I14-'Balance Sheet'!J14</f>
        <v>0</v>
      </c>
      <c r="K26" s="215">
        <f>'Balance Sheet'!J14-'Balance Sheet'!K14</f>
        <v>0</v>
      </c>
      <c r="L26" s="215">
        <f>'Balance Sheet'!K14-'Balance Sheet'!L14</f>
        <v>0</v>
      </c>
    </row>
    <row r="27" spans="1:12" ht="15.6" x14ac:dyDescent="0.3">
      <c r="A27" s="220" t="s">
        <v>127</v>
      </c>
      <c r="B27" s="225">
        <v>0</v>
      </c>
      <c r="C27" s="225">
        <v>0</v>
      </c>
      <c r="D27" s="225">
        <v>0</v>
      </c>
      <c r="E27" s="215">
        <f>'Balance Sheet'!E37-'Balance Sheet'!D37</f>
        <v>113.39865394886806</v>
      </c>
      <c r="F27" s="215">
        <f>'Balance Sheet'!F37-'Balance Sheet'!E37</f>
        <v>111.33961047940397</v>
      </c>
      <c r="G27" s="215">
        <f>'Balance Sheet'!G37-'Balance Sheet'!F37</f>
        <v>152.88621110727991</v>
      </c>
      <c r="H27" s="215">
        <f>'Balance Sheet'!H37-'Balance Sheet'!G37</f>
        <v>148.66634817896056</v>
      </c>
      <c r="I27" s="215">
        <f>'Balance Sheet'!I37-'Balance Sheet'!H37</f>
        <v>162.63030082830937</v>
      </c>
      <c r="J27" s="215">
        <f>'Balance Sheet'!J37-'Balance Sheet'!I37</f>
        <v>183.99277136051205</v>
      </c>
      <c r="K27" s="215">
        <f>'Balance Sheet'!K37-'Balance Sheet'!J37</f>
        <v>195.44029578407435</v>
      </c>
      <c r="L27" s="215">
        <f>'Balance Sheet'!L37-'Balance Sheet'!K37</f>
        <v>214.08060370391195</v>
      </c>
    </row>
    <row r="28" spans="1:12" ht="15.6" x14ac:dyDescent="0.3">
      <c r="A28" s="220" t="s">
        <v>128</v>
      </c>
      <c r="B28" s="225">
        <v>200.49</v>
      </c>
      <c r="C28" s="225">
        <v>29.21</v>
      </c>
      <c r="D28" s="225">
        <v>404.71</v>
      </c>
      <c r="E28" s="215">
        <f>'Balance Sheet'!E39-'Balance Sheet'!D39</f>
        <v>27.933502732928332</v>
      </c>
      <c r="F28" s="215">
        <f>'Balance Sheet'!F39-'Balance Sheet'!E39</f>
        <v>69.352552782418002</v>
      </c>
      <c r="G28" s="215">
        <f>'Balance Sheet'!G39-'Balance Sheet'!F39</f>
        <v>43.775021894578003</v>
      </c>
      <c r="H28" s="215">
        <f>'Balance Sheet'!H39-'Balance Sheet'!G39</f>
        <v>55.459854259534836</v>
      </c>
      <c r="I28" s="215">
        <f>'Balance Sheet'!I39-'Balance Sheet'!H39</f>
        <v>67.564532815612324</v>
      </c>
      <c r="J28" s="215">
        <f>'Balance Sheet'!J39-'Balance Sheet'!I39</f>
        <v>65.442564689420806</v>
      </c>
      <c r="K28" s="215">
        <f>'Balance Sheet'!K39-'Balance Sheet'!J39</f>
        <v>74.475068509323251</v>
      </c>
      <c r="L28" s="215">
        <f>'Balance Sheet'!L39-'Balance Sheet'!K39</f>
        <v>82.148045331407047</v>
      </c>
    </row>
    <row r="29" spans="1:12" ht="15.6" x14ac:dyDescent="0.3">
      <c r="A29" s="220" t="s">
        <v>41</v>
      </c>
      <c r="B29" s="225">
        <v>0</v>
      </c>
      <c r="C29" s="225">
        <v>0</v>
      </c>
      <c r="D29" s="225">
        <v>0</v>
      </c>
      <c r="E29" s="215">
        <v>0</v>
      </c>
      <c r="F29" s="215">
        <v>0</v>
      </c>
      <c r="G29" s="215">
        <v>0</v>
      </c>
      <c r="H29" s="215">
        <v>0</v>
      </c>
      <c r="I29" s="215">
        <v>0</v>
      </c>
      <c r="J29" s="215">
        <v>0</v>
      </c>
      <c r="K29" s="215">
        <v>0</v>
      </c>
      <c r="L29" s="215">
        <v>0</v>
      </c>
    </row>
    <row r="30" spans="1:12" ht="17.399999999999999" x14ac:dyDescent="0.3">
      <c r="A30" s="217" t="s">
        <v>129</v>
      </c>
      <c r="B30" s="284">
        <f>SUM(B7:B29)</f>
        <v>1751.91</v>
      </c>
      <c r="C30" s="284">
        <f t="shared" ref="C30:L30" si="0">SUM(C7:C29)</f>
        <v>1987.7799999999997</v>
      </c>
      <c r="D30" s="284">
        <f t="shared" si="0"/>
        <v>2483.8800000000006</v>
      </c>
      <c r="E30" s="215">
        <f t="shared" si="0"/>
        <v>2512.3481321185641</v>
      </c>
      <c r="F30" s="215">
        <f t="shared" si="0"/>
        <v>2783.9249271227595</v>
      </c>
      <c r="G30" s="215">
        <f t="shared" si="0"/>
        <v>3048.3967813877689</v>
      </c>
      <c r="H30" s="215">
        <f t="shared" si="0"/>
        <v>3284.3030940628009</v>
      </c>
      <c r="I30" s="215">
        <f t="shared" si="0"/>
        <v>3601.0729589738548</v>
      </c>
      <c r="J30" s="215">
        <f t="shared" si="0"/>
        <v>3924.6487004342671</v>
      </c>
      <c r="K30" s="215">
        <f t="shared" si="0"/>
        <v>4269.1948451288608</v>
      </c>
      <c r="L30" s="215">
        <f t="shared" si="0"/>
        <v>4659.6432041599483</v>
      </c>
    </row>
    <row r="31" spans="1:12" ht="15.6" x14ac:dyDescent="0.3">
      <c r="A31" s="216" t="s">
        <v>130</v>
      </c>
      <c r="B31" s="225">
        <v>-596.13</v>
      </c>
      <c r="C31" s="225">
        <v>-503.25</v>
      </c>
      <c r="D31" s="225">
        <v>-632.80999999999995</v>
      </c>
      <c r="E31" s="215">
        <f>'Income Statement'!E32</f>
        <v>-607.27005279876801</v>
      </c>
      <c r="F31" s="215">
        <f>'Income Statement'!F32</f>
        <v>-677.2145968345427</v>
      </c>
      <c r="G31" s="215">
        <f>'Income Statement'!G32</f>
        <v>-763.67628907315986</v>
      </c>
      <c r="H31" s="215">
        <f>'Income Statement'!H32</f>
        <v>-799.2857466360706</v>
      </c>
      <c r="I31" s="215">
        <f>'Income Statement'!I32</f>
        <v>-876.53716190679768</v>
      </c>
      <c r="J31" s="215">
        <f>'Income Statement'!J32</f>
        <v>-956.06666324587741</v>
      </c>
      <c r="K31" s="215">
        <f>'Income Statement'!K32</f>
        <v>-1031.0028459227469</v>
      </c>
      <c r="L31" s="215">
        <f>'Income Statement'!L32</f>
        <v>-1123.0448464179524</v>
      </c>
    </row>
    <row r="32" spans="1:12" ht="15.6" x14ac:dyDescent="0.3">
      <c r="A32" s="217" t="s">
        <v>305</v>
      </c>
      <c r="B32" s="223">
        <f>B30+B31</f>
        <v>1155.7800000000002</v>
      </c>
      <c r="C32" s="223">
        <f t="shared" ref="C32:L32" si="1">C30+C31</f>
        <v>1484.5299999999997</v>
      </c>
      <c r="D32" s="223">
        <f t="shared" si="1"/>
        <v>1851.0700000000006</v>
      </c>
      <c r="E32" s="215">
        <f t="shared" si="1"/>
        <v>1905.078079319796</v>
      </c>
      <c r="F32" s="215">
        <f t="shared" si="1"/>
        <v>2106.7103302882169</v>
      </c>
      <c r="G32" s="215">
        <f t="shared" si="1"/>
        <v>2284.7204923146091</v>
      </c>
      <c r="H32" s="215">
        <f t="shared" si="1"/>
        <v>2485.0173474267303</v>
      </c>
      <c r="I32" s="215">
        <f t="shared" si="1"/>
        <v>2724.535797067057</v>
      </c>
      <c r="J32" s="215">
        <f t="shared" si="1"/>
        <v>2968.5820371883897</v>
      </c>
      <c r="K32" s="215">
        <f t="shared" si="1"/>
        <v>3238.1919992061139</v>
      </c>
      <c r="L32" s="215">
        <f t="shared" si="1"/>
        <v>3536.5983577419956</v>
      </c>
    </row>
    <row r="33" spans="1:12" ht="15.6" x14ac:dyDescent="0.3">
      <c r="A33" s="216" t="s">
        <v>77</v>
      </c>
      <c r="B33" s="224">
        <v>0</v>
      </c>
      <c r="C33" s="224">
        <v>0</v>
      </c>
      <c r="D33" s="224">
        <v>0</v>
      </c>
      <c r="E33" s="215"/>
      <c r="F33" s="215"/>
      <c r="G33" s="215"/>
      <c r="H33" s="215"/>
      <c r="I33" s="215"/>
      <c r="J33" s="215"/>
      <c r="K33" s="215"/>
      <c r="L33" s="215"/>
    </row>
    <row r="34" spans="1:12" ht="15.6" x14ac:dyDescent="0.3">
      <c r="A34" s="209" t="s">
        <v>131</v>
      </c>
      <c r="B34" s="224">
        <v>0</v>
      </c>
      <c r="C34" s="224">
        <v>0</v>
      </c>
      <c r="D34" s="224">
        <v>0</v>
      </c>
      <c r="E34" s="215"/>
      <c r="F34" s="215"/>
      <c r="G34" s="215"/>
      <c r="H34" s="215"/>
      <c r="I34" s="215"/>
      <c r="J34" s="215"/>
      <c r="K34" s="215"/>
      <c r="L34" s="215"/>
    </row>
    <row r="35" spans="1:12" ht="15.6" x14ac:dyDescent="0.3">
      <c r="A35" s="220" t="s">
        <v>132</v>
      </c>
      <c r="B35" s="225">
        <v>-401.21</v>
      </c>
      <c r="C35" s="225">
        <v>-244.17</v>
      </c>
      <c r="D35" s="225">
        <v>-242.07</v>
      </c>
      <c r="E35" s="215">
        <f>(Assumptions!E33+Assumptions!E51)*-1</f>
        <v>-208.34612509617668</v>
      </c>
      <c r="F35" s="215">
        <f>(Assumptions!F33+Assumptions!F51)*-1</f>
        <v>-240.87585195324607</v>
      </c>
      <c r="G35" s="215">
        <f>(Assumptions!G33+Assumptions!G51)*-1</f>
        <v>-262.09706831750441</v>
      </c>
      <c r="H35" s="215">
        <f>(Assumptions!H33+Assumptions!H51)*-1</f>
        <v>-280.33028411424277</v>
      </c>
      <c r="I35" s="215">
        <f>(Assumptions!I33+Assumptions!I51)*-1</f>
        <v>-309.60303429003648</v>
      </c>
      <c r="J35" s="215">
        <f>(Assumptions!J33+Assumptions!J51)*-1</f>
        <v>-336.62646672522794</v>
      </c>
      <c r="K35" s="215">
        <f>(Assumptions!K33+Assumptions!K51)*-1</f>
        <v>-365.91954855187203</v>
      </c>
      <c r="L35" s="215">
        <f>(Assumptions!L33+Assumptions!L51)*-1</f>
        <v>-399.91238528991585</v>
      </c>
    </row>
    <row r="36" spans="1:12" ht="15.6" x14ac:dyDescent="0.3">
      <c r="A36" s="220" t="s">
        <v>133</v>
      </c>
      <c r="B36" s="225">
        <v>1.82</v>
      </c>
      <c r="C36" s="225">
        <v>0.73</v>
      </c>
      <c r="D36" s="225">
        <v>2.17</v>
      </c>
      <c r="E36" s="215">
        <v>0</v>
      </c>
      <c r="F36" s="215">
        <v>0</v>
      </c>
      <c r="G36" s="215">
        <v>0</v>
      </c>
      <c r="H36" s="215">
        <v>0</v>
      </c>
      <c r="I36" s="215">
        <v>0</v>
      </c>
      <c r="J36" s="215">
        <v>0</v>
      </c>
      <c r="K36" s="215">
        <v>0</v>
      </c>
      <c r="L36" s="215">
        <v>0</v>
      </c>
    </row>
    <row r="37" spans="1:12" ht="15.6" x14ac:dyDescent="0.3">
      <c r="A37" s="220" t="s">
        <v>324</v>
      </c>
      <c r="B37" s="225">
        <v>-334.12</v>
      </c>
      <c r="C37" s="225">
        <v>-1326.63</v>
      </c>
      <c r="D37" s="225">
        <v>178.82</v>
      </c>
      <c r="E37" s="215">
        <v>0</v>
      </c>
      <c r="F37" s="215">
        <v>0</v>
      </c>
      <c r="G37" s="215">
        <v>0</v>
      </c>
      <c r="H37" s="215">
        <v>0</v>
      </c>
      <c r="I37" s="215">
        <v>0</v>
      </c>
      <c r="J37" s="215">
        <v>0</v>
      </c>
      <c r="K37" s="215">
        <v>0</v>
      </c>
      <c r="L37" s="215">
        <v>0</v>
      </c>
    </row>
    <row r="38" spans="1:12" ht="15.6" x14ac:dyDescent="0.3">
      <c r="A38" s="220" t="s">
        <v>306</v>
      </c>
      <c r="B38" s="225">
        <v>-874.3</v>
      </c>
      <c r="C38" s="225">
        <v>-1293.4100000000001</v>
      </c>
      <c r="D38" s="225">
        <v>-1202.5</v>
      </c>
      <c r="E38" s="215">
        <v>0</v>
      </c>
      <c r="F38" s="215">
        <v>0</v>
      </c>
      <c r="G38" s="215">
        <v>0</v>
      </c>
      <c r="H38" s="215">
        <v>0</v>
      </c>
      <c r="I38" s="215">
        <v>0</v>
      </c>
      <c r="J38" s="215">
        <v>0</v>
      </c>
      <c r="K38" s="215">
        <v>0</v>
      </c>
      <c r="L38" s="215">
        <v>0</v>
      </c>
    </row>
    <row r="39" spans="1:12" ht="15.6" x14ac:dyDescent="0.3">
      <c r="A39" s="220" t="s">
        <v>307</v>
      </c>
      <c r="B39" s="225">
        <v>635.4</v>
      </c>
      <c r="C39" s="225">
        <v>1204.24</v>
      </c>
      <c r="D39" s="225">
        <v>1491.41</v>
      </c>
      <c r="E39" s="215">
        <v>0</v>
      </c>
      <c r="F39" s="215">
        <v>0</v>
      </c>
      <c r="G39" s="215">
        <v>0</v>
      </c>
      <c r="H39" s="215">
        <v>0</v>
      </c>
      <c r="I39" s="215">
        <v>0</v>
      </c>
      <c r="J39" s="215">
        <v>0</v>
      </c>
      <c r="K39" s="215">
        <v>0</v>
      </c>
      <c r="L39" s="215">
        <v>0</v>
      </c>
    </row>
    <row r="40" spans="1:12" ht="12.75" customHeight="1" x14ac:dyDescent="0.3">
      <c r="A40" s="220" t="s">
        <v>308</v>
      </c>
      <c r="B40" s="225">
        <v>116.88</v>
      </c>
      <c r="C40" s="225">
        <v>127.62</v>
      </c>
      <c r="D40" s="225">
        <v>233.43</v>
      </c>
      <c r="E40" s="215">
        <f>'Income Statement'!E27</f>
        <v>313</v>
      </c>
      <c r="F40" s="215">
        <f>'Income Statement'!F27</f>
        <v>313</v>
      </c>
      <c r="G40" s="215">
        <f>'Income Statement'!G27</f>
        <v>313</v>
      </c>
      <c r="H40" s="215">
        <f>'Income Statement'!H27</f>
        <v>313</v>
      </c>
      <c r="I40" s="215">
        <f>'Income Statement'!I27</f>
        <v>313</v>
      </c>
      <c r="J40" s="215">
        <f>'Income Statement'!J27</f>
        <v>313</v>
      </c>
      <c r="K40" s="215">
        <f>'Income Statement'!K27</f>
        <v>313</v>
      </c>
      <c r="L40" s="215">
        <f>'Income Statement'!L27</f>
        <v>313</v>
      </c>
    </row>
    <row r="41" spans="1:12" ht="12.75" customHeight="1" x14ac:dyDescent="0.3">
      <c r="A41" s="220" t="s">
        <v>148</v>
      </c>
      <c r="B41" s="225">
        <v>0</v>
      </c>
      <c r="C41" s="225">
        <v>0</v>
      </c>
      <c r="D41" s="225">
        <v>0</v>
      </c>
      <c r="E41" s="215">
        <v>0</v>
      </c>
      <c r="F41" s="215">
        <v>0</v>
      </c>
      <c r="G41" s="215">
        <v>0</v>
      </c>
      <c r="H41" s="215">
        <v>0</v>
      </c>
      <c r="I41" s="215">
        <v>0</v>
      </c>
      <c r="J41" s="215">
        <v>0</v>
      </c>
      <c r="K41" s="215">
        <v>0</v>
      </c>
      <c r="L41" s="215">
        <v>0</v>
      </c>
    </row>
    <row r="42" spans="1:12" ht="12.75" customHeight="1" x14ac:dyDescent="0.3">
      <c r="A42" s="220" t="s">
        <v>146</v>
      </c>
      <c r="B42" s="225">
        <v>0</v>
      </c>
      <c r="C42" s="225">
        <v>0</v>
      </c>
      <c r="D42" s="225">
        <v>0</v>
      </c>
      <c r="E42" s="215">
        <v>0</v>
      </c>
      <c r="F42" s="215">
        <v>0</v>
      </c>
      <c r="G42" s="215">
        <v>0</v>
      </c>
      <c r="H42" s="215">
        <v>0</v>
      </c>
      <c r="I42" s="215">
        <v>0</v>
      </c>
      <c r="J42" s="215">
        <v>0</v>
      </c>
      <c r="K42" s="215">
        <v>0</v>
      </c>
      <c r="L42" s="215">
        <v>0</v>
      </c>
    </row>
    <row r="43" spans="1:12" ht="12.75" customHeight="1" x14ac:dyDescent="0.3">
      <c r="A43" s="220" t="s">
        <v>149</v>
      </c>
      <c r="B43" s="225">
        <v>0</v>
      </c>
      <c r="C43" s="225">
        <v>0</v>
      </c>
      <c r="D43" s="225">
        <v>0</v>
      </c>
      <c r="E43" s="215">
        <v>0</v>
      </c>
      <c r="F43" s="215">
        <v>0</v>
      </c>
      <c r="G43" s="215">
        <v>0</v>
      </c>
      <c r="H43" s="215">
        <v>0</v>
      </c>
      <c r="I43" s="215">
        <v>0</v>
      </c>
      <c r="J43" s="215">
        <v>0</v>
      </c>
      <c r="K43" s="215">
        <v>0</v>
      </c>
      <c r="L43" s="215">
        <v>0</v>
      </c>
    </row>
    <row r="44" spans="1:12" ht="12.75" customHeight="1" x14ac:dyDescent="0.3">
      <c r="A44" s="220" t="s">
        <v>150</v>
      </c>
      <c r="B44" s="225">
        <v>0</v>
      </c>
      <c r="C44" s="225">
        <v>0</v>
      </c>
      <c r="D44" s="225">
        <v>0</v>
      </c>
      <c r="E44" s="215">
        <v>0</v>
      </c>
      <c r="F44" s="215">
        <v>0</v>
      </c>
      <c r="G44" s="215">
        <v>0</v>
      </c>
      <c r="H44" s="215">
        <v>0</v>
      </c>
      <c r="I44" s="215">
        <v>0</v>
      </c>
      <c r="J44" s="215">
        <v>0</v>
      </c>
      <c r="K44" s="215">
        <v>0</v>
      </c>
      <c r="L44" s="215">
        <v>0</v>
      </c>
    </row>
    <row r="45" spans="1:12" ht="12.75" customHeight="1" x14ac:dyDescent="0.3">
      <c r="A45" s="220" t="s">
        <v>147</v>
      </c>
      <c r="B45" s="225">
        <v>0</v>
      </c>
      <c r="C45" s="225">
        <v>0</v>
      </c>
      <c r="D45" s="225">
        <v>0</v>
      </c>
      <c r="E45" s="215">
        <v>0</v>
      </c>
      <c r="F45" s="215">
        <v>0</v>
      </c>
      <c r="G45" s="215">
        <v>0</v>
      </c>
      <c r="H45" s="215">
        <v>0</v>
      </c>
      <c r="I45" s="215">
        <v>0</v>
      </c>
      <c r="J45" s="215">
        <v>0</v>
      </c>
      <c r="K45" s="215">
        <v>0</v>
      </c>
      <c r="L45" s="215">
        <v>0</v>
      </c>
    </row>
    <row r="46" spans="1:12" ht="12.75" customHeight="1" x14ac:dyDescent="0.3">
      <c r="A46" s="220" t="s">
        <v>151</v>
      </c>
      <c r="B46" s="225">
        <v>0</v>
      </c>
      <c r="C46" s="225">
        <v>0</v>
      </c>
      <c r="D46" s="225">
        <v>0</v>
      </c>
      <c r="E46" s="215">
        <v>0</v>
      </c>
      <c r="F46" s="215">
        <v>0</v>
      </c>
      <c r="G46" s="215">
        <v>0</v>
      </c>
      <c r="H46" s="215">
        <v>0</v>
      </c>
      <c r="I46" s="215">
        <v>0</v>
      </c>
      <c r="J46" s="215">
        <v>0</v>
      </c>
      <c r="K46" s="215">
        <v>0</v>
      </c>
      <c r="L46" s="215">
        <v>0</v>
      </c>
    </row>
    <row r="47" spans="1:12" ht="12.75" customHeight="1" x14ac:dyDescent="0.3">
      <c r="A47" s="217" t="s">
        <v>309</v>
      </c>
      <c r="B47" s="223">
        <f>SUM(B35:B46)</f>
        <v>-855.53</v>
      </c>
      <c r="C47" s="223">
        <f t="shared" ref="C47:D47" si="2">SUM(C35:C46)</f>
        <v>-1531.6200000000003</v>
      </c>
      <c r="D47" s="223">
        <f t="shared" si="2"/>
        <v>461.26000000000016</v>
      </c>
      <c r="E47" s="215">
        <f t="shared" ref="E47" si="3">SUM(E35:E46)</f>
        <v>104.65387490382332</v>
      </c>
      <c r="F47" s="215">
        <f t="shared" ref="F47" si="4">SUM(F35:F46)</f>
        <v>72.12414804675393</v>
      </c>
      <c r="G47" s="215">
        <f t="shared" ref="G47" si="5">SUM(G35:G46)</f>
        <v>50.902931682495591</v>
      </c>
      <c r="H47" s="215">
        <f t="shared" ref="H47" si="6">SUM(H35:H46)</f>
        <v>32.669715885757228</v>
      </c>
      <c r="I47" s="215">
        <f t="shared" ref="I47" si="7">SUM(I35:I46)</f>
        <v>3.3969657099635242</v>
      </c>
      <c r="J47" s="215">
        <f t="shared" ref="J47" si="8">SUM(J35:J46)</f>
        <v>-23.626466725227942</v>
      </c>
      <c r="K47" s="215">
        <f t="shared" ref="K47" si="9">SUM(K35:K46)</f>
        <v>-52.919548551872026</v>
      </c>
      <c r="L47" s="215">
        <f t="shared" ref="L47" si="10">SUM(L35:L46)</f>
        <v>-86.912385289915846</v>
      </c>
    </row>
    <row r="48" spans="1:12" ht="15.6" x14ac:dyDescent="0.3">
      <c r="A48" s="211" t="s">
        <v>77</v>
      </c>
      <c r="B48" s="214"/>
      <c r="C48" s="214"/>
      <c r="D48" s="214"/>
      <c r="E48" s="215"/>
      <c r="F48" s="215"/>
      <c r="G48" s="215"/>
      <c r="H48" s="215"/>
      <c r="I48" s="215"/>
      <c r="J48" s="215"/>
      <c r="K48" s="215"/>
      <c r="L48" s="215"/>
    </row>
    <row r="49" spans="1:12" ht="15.6" x14ac:dyDescent="0.3">
      <c r="A49" s="209" t="s">
        <v>134</v>
      </c>
      <c r="B49" s="214"/>
      <c r="C49" s="214"/>
      <c r="D49" s="214"/>
      <c r="E49" s="215"/>
      <c r="F49" s="215"/>
      <c r="G49" s="215"/>
      <c r="H49" s="215"/>
      <c r="I49" s="215"/>
      <c r="J49" s="215"/>
      <c r="K49" s="215"/>
      <c r="L49" s="215"/>
    </row>
    <row r="50" spans="1:12" ht="15.6" x14ac:dyDescent="0.3">
      <c r="A50" s="220" t="s">
        <v>325</v>
      </c>
      <c r="B50" s="225">
        <v>29.79</v>
      </c>
      <c r="C50" s="225">
        <v>23.97</v>
      </c>
      <c r="D50" s="225">
        <v>103.15</v>
      </c>
      <c r="E50" s="215">
        <f>0</f>
        <v>0</v>
      </c>
      <c r="F50" s="215">
        <f>0</f>
        <v>0</v>
      </c>
      <c r="G50" s="215">
        <f>0</f>
        <v>0</v>
      </c>
      <c r="H50" s="215">
        <f>0</f>
        <v>0</v>
      </c>
      <c r="I50" s="215">
        <f>0</f>
        <v>0</v>
      </c>
      <c r="J50" s="215">
        <f>0</f>
        <v>0</v>
      </c>
      <c r="K50" s="215">
        <f>0</f>
        <v>0</v>
      </c>
      <c r="L50" s="215">
        <f>0</f>
        <v>0</v>
      </c>
    </row>
    <row r="51" spans="1:12" ht="15.6" x14ac:dyDescent="0.3">
      <c r="A51" s="220" t="s">
        <v>135</v>
      </c>
      <c r="B51" s="225">
        <v>-41.91</v>
      </c>
      <c r="C51" s="225">
        <v>640.72</v>
      </c>
      <c r="D51" s="225">
        <v>567.79999999999995</v>
      </c>
      <c r="E51" s="215">
        <v>0</v>
      </c>
      <c r="F51" s="215">
        <v>0</v>
      </c>
      <c r="G51" s="215">
        <v>0</v>
      </c>
      <c r="H51" s="215">
        <v>0</v>
      </c>
      <c r="I51" s="215">
        <v>0</v>
      </c>
      <c r="J51" s="215">
        <v>0</v>
      </c>
      <c r="K51" s="215">
        <v>0</v>
      </c>
      <c r="L51" s="215">
        <v>0</v>
      </c>
    </row>
    <row r="52" spans="1:12" ht="15.6" x14ac:dyDescent="0.3">
      <c r="A52" s="220" t="s">
        <v>136</v>
      </c>
      <c r="B52" s="225">
        <v>0</v>
      </c>
      <c r="C52" s="225">
        <v>0</v>
      </c>
      <c r="D52" s="225">
        <v>0</v>
      </c>
      <c r="E52" s="215">
        <v>0</v>
      </c>
      <c r="F52" s="215">
        <v>0</v>
      </c>
      <c r="G52" s="215">
        <v>0</v>
      </c>
      <c r="H52" s="215">
        <v>0</v>
      </c>
      <c r="I52" s="215">
        <v>0</v>
      </c>
      <c r="J52" s="215">
        <v>0</v>
      </c>
      <c r="K52" s="215">
        <v>0</v>
      </c>
      <c r="L52" s="215">
        <v>0</v>
      </c>
    </row>
    <row r="53" spans="1:12" ht="15.6" x14ac:dyDescent="0.3">
      <c r="A53" s="220" t="s">
        <v>137</v>
      </c>
      <c r="B53" s="225">
        <v>0</v>
      </c>
      <c r="C53" s="225">
        <v>0</v>
      </c>
      <c r="D53" s="225">
        <v>0</v>
      </c>
      <c r="E53" s="215"/>
      <c r="F53" s="215"/>
      <c r="G53" s="215"/>
      <c r="H53" s="215"/>
      <c r="I53" s="215"/>
      <c r="J53" s="215"/>
      <c r="K53" s="215"/>
      <c r="L53" s="215"/>
    </row>
    <row r="54" spans="1:12" ht="15.6" x14ac:dyDescent="0.3">
      <c r="A54" s="220" t="s">
        <v>140</v>
      </c>
      <c r="B54" s="225">
        <v>-9.3800000000000008</v>
      </c>
      <c r="C54" s="225">
        <v>-35.54</v>
      </c>
      <c r="D54" s="225">
        <v>-101.3</v>
      </c>
      <c r="E54" s="215">
        <f>'Income Statement'!E26</f>
        <v>-118.1234511598866</v>
      </c>
      <c r="F54" s="215">
        <f>'Income Statement'!F26</f>
        <v>-111.67758203243537</v>
      </c>
      <c r="G54" s="215">
        <f>'Income Statement'!G26</f>
        <v>-113.56701106410733</v>
      </c>
      <c r="H54" s="215">
        <f>'Income Statement'!H26</f>
        <v>-114.4560147521431</v>
      </c>
      <c r="I54" s="215">
        <f>'Income Statement'!I26</f>
        <v>-113.23353594956194</v>
      </c>
      <c r="J54" s="215">
        <f>'Income Statement'!J26</f>
        <v>-113.75218725527078</v>
      </c>
      <c r="K54" s="215">
        <f>'Income Statement'!K26</f>
        <v>-113.81391265232527</v>
      </c>
      <c r="L54" s="215">
        <f>'Income Statement'!L26</f>
        <v>-113.59987861905267</v>
      </c>
    </row>
    <row r="55" spans="1:12" ht="15.6" x14ac:dyDescent="0.3">
      <c r="A55" s="220" t="s">
        <v>138</v>
      </c>
      <c r="B55" s="225">
        <v>-354.38</v>
      </c>
      <c r="C55" s="225">
        <v>-432.53</v>
      </c>
      <c r="D55" s="225">
        <v>-2823.75</v>
      </c>
      <c r="E55" s="215">
        <f>'Income Statement'!E51</f>
        <v>-552.69170605769261</v>
      </c>
      <c r="F55" s="215">
        <f>'Income Statement'!F51</f>
        <v>-616.34998987128586</v>
      </c>
      <c r="G55" s="215">
        <f>'Income Statement'!G51</f>
        <v>-683.43746321507581</v>
      </c>
      <c r="H55" s="215">
        <f>'Income Statement'!H51</f>
        <v>-723.36793559879993</v>
      </c>
      <c r="I55" s="215">
        <f>'Income Statement'!I51</f>
        <v>-791.79796705211118</v>
      </c>
      <c r="J55" s="215">
        <f>'Income Statement'!J51</f>
        <v>-861.48793337906079</v>
      </c>
      <c r="K55" s="215">
        <f>'Income Statement'!K51</f>
        <v>-931.13705647125039</v>
      </c>
      <c r="L55" s="215">
        <f>'Income Statement'!L51</f>
        <v>-1013.5610285097285</v>
      </c>
    </row>
    <row r="56" spans="1:12" ht="15.6" x14ac:dyDescent="0.3">
      <c r="A56" s="220" t="s">
        <v>139</v>
      </c>
      <c r="B56" s="225">
        <v>23.2</v>
      </c>
      <c r="C56" s="225">
        <v>12</v>
      </c>
      <c r="D56" s="225">
        <v>14</v>
      </c>
      <c r="E56" s="215">
        <v>0</v>
      </c>
      <c r="F56" s="215">
        <v>0</v>
      </c>
      <c r="G56" s="215">
        <v>0</v>
      </c>
      <c r="H56" s="215">
        <v>0</v>
      </c>
      <c r="I56" s="215">
        <v>0</v>
      </c>
      <c r="J56" s="215">
        <v>0</v>
      </c>
      <c r="K56" s="215">
        <v>0</v>
      </c>
      <c r="L56" s="215">
        <v>0</v>
      </c>
    </row>
    <row r="57" spans="1:12" ht="15.6" x14ac:dyDescent="0.3">
      <c r="A57" s="220" t="s">
        <v>310</v>
      </c>
      <c r="B57" s="225">
        <v>0</v>
      </c>
      <c r="C57" s="225">
        <v>0</v>
      </c>
      <c r="D57" s="225">
        <v>0</v>
      </c>
      <c r="E57" s="215">
        <v>0</v>
      </c>
      <c r="F57" s="215">
        <v>0</v>
      </c>
      <c r="G57" s="215">
        <v>0</v>
      </c>
      <c r="H57" s="215">
        <v>0</v>
      </c>
      <c r="I57" s="215">
        <v>0</v>
      </c>
      <c r="J57" s="215">
        <v>0</v>
      </c>
      <c r="K57" s="215">
        <v>0</v>
      </c>
      <c r="L57" s="215">
        <v>0</v>
      </c>
    </row>
    <row r="58" spans="1:12" ht="15.6" x14ac:dyDescent="0.3">
      <c r="A58" s="220" t="s">
        <v>326</v>
      </c>
      <c r="B58" s="225">
        <v>0</v>
      </c>
      <c r="C58" s="225">
        <v>-869.15</v>
      </c>
      <c r="D58" s="225">
        <v>0</v>
      </c>
      <c r="E58" s="215">
        <v>0</v>
      </c>
      <c r="F58" s="215">
        <v>0</v>
      </c>
      <c r="G58" s="215">
        <v>0</v>
      </c>
      <c r="H58" s="215">
        <v>0</v>
      </c>
      <c r="I58" s="215">
        <v>0</v>
      </c>
      <c r="J58" s="215">
        <v>0</v>
      </c>
      <c r="K58" s="215">
        <v>0</v>
      </c>
      <c r="L58" s="215">
        <v>0</v>
      </c>
    </row>
    <row r="59" spans="1:12" ht="15.6" x14ac:dyDescent="0.3">
      <c r="A59" s="220" t="s">
        <v>327</v>
      </c>
      <c r="B59" s="225">
        <v>0</v>
      </c>
      <c r="C59" s="225">
        <v>-2.0299999999999998</v>
      </c>
      <c r="D59" s="225">
        <v>-2.5499999999999998</v>
      </c>
      <c r="E59" s="215">
        <v>0</v>
      </c>
      <c r="F59" s="215">
        <v>0</v>
      </c>
      <c r="G59" s="215">
        <v>0</v>
      </c>
      <c r="H59" s="215">
        <v>0</v>
      </c>
      <c r="I59" s="215">
        <v>0</v>
      </c>
      <c r="J59" s="215">
        <v>0</v>
      </c>
      <c r="K59" s="215">
        <v>0</v>
      </c>
      <c r="L59" s="215">
        <v>0</v>
      </c>
    </row>
    <row r="60" spans="1:12" ht="15.6" x14ac:dyDescent="0.3">
      <c r="A60" s="220" t="s">
        <v>328</v>
      </c>
      <c r="B60" s="225" t="s">
        <v>330</v>
      </c>
      <c r="C60" s="225">
        <v>-0.45</v>
      </c>
      <c r="D60" s="225">
        <v>-1.04</v>
      </c>
      <c r="E60" s="215">
        <v>0</v>
      </c>
      <c r="F60" s="215">
        <v>0</v>
      </c>
      <c r="G60" s="215">
        <v>0</v>
      </c>
      <c r="H60" s="215">
        <v>0</v>
      </c>
      <c r="I60" s="215">
        <v>0</v>
      </c>
      <c r="J60" s="215">
        <v>0</v>
      </c>
      <c r="K60" s="215">
        <v>0</v>
      </c>
      <c r="L60" s="215">
        <v>0</v>
      </c>
    </row>
    <row r="61" spans="1:12" ht="15.6" x14ac:dyDescent="0.3">
      <c r="A61" s="220" t="s">
        <v>329</v>
      </c>
      <c r="B61" s="225">
        <v>0</v>
      </c>
      <c r="C61" s="225">
        <v>720.95</v>
      </c>
      <c r="D61" s="225">
        <v>0</v>
      </c>
      <c r="E61" s="215">
        <v>0</v>
      </c>
      <c r="F61" s="215">
        <v>0</v>
      </c>
      <c r="G61" s="215">
        <v>0</v>
      </c>
      <c r="H61" s="215">
        <v>0</v>
      </c>
      <c r="I61" s="215">
        <v>0</v>
      </c>
      <c r="J61" s="215">
        <v>0</v>
      </c>
      <c r="K61" s="215">
        <v>0</v>
      </c>
      <c r="L61" s="215">
        <v>0</v>
      </c>
    </row>
    <row r="62" spans="1:12" ht="15.6" x14ac:dyDescent="0.3">
      <c r="A62" s="220" t="s">
        <v>152</v>
      </c>
      <c r="B62" s="225">
        <v>0</v>
      </c>
      <c r="C62" s="225">
        <v>0</v>
      </c>
      <c r="D62" s="225">
        <v>0</v>
      </c>
      <c r="E62" s="215">
        <v>0</v>
      </c>
      <c r="F62" s="215">
        <v>0</v>
      </c>
      <c r="G62" s="215">
        <v>0</v>
      </c>
      <c r="H62" s="215">
        <v>0</v>
      </c>
      <c r="I62" s="215">
        <v>0</v>
      </c>
      <c r="J62" s="215">
        <v>0</v>
      </c>
      <c r="K62" s="215">
        <v>0</v>
      </c>
      <c r="L62" s="215">
        <v>0</v>
      </c>
    </row>
    <row r="63" spans="1:12" ht="15.6" x14ac:dyDescent="0.3">
      <c r="A63" s="220" t="s">
        <v>153</v>
      </c>
      <c r="B63" s="225">
        <v>0</v>
      </c>
      <c r="C63" s="225">
        <v>0</v>
      </c>
      <c r="D63" s="225">
        <v>0</v>
      </c>
      <c r="E63" s="215">
        <v>0</v>
      </c>
      <c r="F63" s="215">
        <v>0</v>
      </c>
      <c r="G63" s="215">
        <v>0</v>
      </c>
      <c r="H63" s="215">
        <v>0</v>
      </c>
      <c r="I63" s="215">
        <v>0</v>
      </c>
      <c r="J63" s="215">
        <v>0</v>
      </c>
      <c r="K63" s="215">
        <v>0</v>
      </c>
      <c r="L63" s="215">
        <v>0</v>
      </c>
    </row>
    <row r="64" spans="1:12" ht="15.6" x14ac:dyDescent="0.3">
      <c r="A64" s="220" t="s">
        <v>154</v>
      </c>
      <c r="B64" s="225">
        <v>0</v>
      </c>
      <c r="C64" s="225">
        <v>0</v>
      </c>
      <c r="D64" s="225">
        <v>0</v>
      </c>
      <c r="E64" s="215">
        <v>0</v>
      </c>
      <c r="F64" s="215">
        <v>0</v>
      </c>
      <c r="G64" s="215">
        <v>0</v>
      </c>
      <c r="H64" s="215">
        <v>0</v>
      </c>
      <c r="I64" s="215">
        <v>0</v>
      </c>
      <c r="J64" s="215">
        <v>0</v>
      </c>
      <c r="K64" s="215">
        <v>0</v>
      </c>
      <c r="L64" s="215">
        <v>0</v>
      </c>
    </row>
    <row r="65" spans="1:12" ht="15.6" x14ac:dyDescent="0.3">
      <c r="A65" s="217" t="s">
        <v>311</v>
      </c>
      <c r="B65" s="223">
        <f>SUM(B50:B64)</f>
        <v>-352.68</v>
      </c>
      <c r="C65" s="223">
        <f t="shared" ref="C65:L65" si="11">SUM(C50:C64)</f>
        <v>57.940000000000168</v>
      </c>
      <c r="D65" s="223">
        <f t="shared" si="11"/>
        <v>-2243.69</v>
      </c>
      <c r="E65" s="215">
        <f t="shared" si="11"/>
        <v>-670.81515721757921</v>
      </c>
      <c r="F65" s="215">
        <f t="shared" si="11"/>
        <v>-728.0275719037212</v>
      </c>
      <c r="G65" s="215">
        <f t="shared" si="11"/>
        <v>-797.00447427918311</v>
      </c>
      <c r="H65" s="215">
        <f t="shared" si="11"/>
        <v>-837.82395035094305</v>
      </c>
      <c r="I65" s="215">
        <f t="shared" si="11"/>
        <v>-905.03150300167317</v>
      </c>
      <c r="J65" s="215">
        <f t="shared" si="11"/>
        <v>-975.24012063433156</v>
      </c>
      <c r="K65" s="215">
        <f t="shared" si="11"/>
        <v>-1044.9509691235758</v>
      </c>
      <c r="L65" s="215">
        <f t="shared" si="11"/>
        <v>-1127.1609071287812</v>
      </c>
    </row>
    <row r="66" spans="1:12" ht="15.6" x14ac:dyDescent="0.3">
      <c r="A66" s="218" t="s">
        <v>77</v>
      </c>
      <c r="B66" s="214"/>
      <c r="C66" s="214"/>
      <c r="D66" s="214"/>
      <c r="E66" s="215"/>
      <c r="F66" s="215"/>
      <c r="G66" s="215"/>
      <c r="H66" s="215"/>
      <c r="I66" s="215"/>
      <c r="J66" s="215"/>
      <c r="K66" s="215"/>
      <c r="L66" s="215"/>
    </row>
    <row r="67" spans="1:12" ht="15.6" x14ac:dyDescent="0.3">
      <c r="A67" s="219" t="s">
        <v>141</v>
      </c>
      <c r="B67" s="214"/>
      <c r="C67" s="214"/>
      <c r="D67" s="214"/>
      <c r="E67" s="215">
        <f>E32+E47+E65</f>
        <v>1338.9167970060403</v>
      </c>
      <c r="F67" s="215">
        <f t="shared" ref="F67:L67" si="12">F32+F47+F65</f>
        <v>1450.8069064312494</v>
      </c>
      <c r="G67" s="215">
        <f t="shared" si="12"/>
        <v>1538.6189497179214</v>
      </c>
      <c r="H67" s="215">
        <f t="shared" si="12"/>
        <v>1679.8631129615446</v>
      </c>
      <c r="I67" s="215">
        <f t="shared" si="12"/>
        <v>1822.9012597753476</v>
      </c>
      <c r="J67" s="215">
        <f t="shared" si="12"/>
        <v>1969.7154498288301</v>
      </c>
      <c r="K67" s="215">
        <f t="shared" si="12"/>
        <v>2140.321481530666</v>
      </c>
      <c r="L67" s="215">
        <f t="shared" si="12"/>
        <v>2322.5250653232988</v>
      </c>
    </row>
    <row r="68" spans="1:12" ht="15.6" x14ac:dyDescent="0.3">
      <c r="A68" s="218" t="s">
        <v>142</v>
      </c>
      <c r="B68" s="226">
        <f>B47+B65+B32</f>
        <v>-52.429999999999836</v>
      </c>
      <c r="C68" s="226">
        <f t="shared" ref="C68:D68" si="13">C47+C65+C32</f>
        <v>10.849999999999454</v>
      </c>
      <c r="D68" s="226">
        <f t="shared" si="13"/>
        <v>68.640000000000782</v>
      </c>
      <c r="E68" s="226">
        <f>D71</f>
        <v>141.46000000000041</v>
      </c>
      <c r="F68" s="226">
        <f t="shared" ref="F68:L68" si="14">E71</f>
        <v>1480.3767970060408</v>
      </c>
      <c r="G68" s="226">
        <f t="shared" si="14"/>
        <v>2931.1837034372902</v>
      </c>
      <c r="H68" s="226">
        <f t="shared" si="14"/>
        <v>4469.8026531552114</v>
      </c>
      <c r="I68" s="226">
        <f t="shared" si="14"/>
        <v>6149.6657661167555</v>
      </c>
      <c r="J68" s="226">
        <f t="shared" si="14"/>
        <v>7972.5670258921036</v>
      </c>
      <c r="K68" s="226">
        <f t="shared" si="14"/>
        <v>9942.2824757209346</v>
      </c>
      <c r="L68" s="226">
        <f t="shared" si="14"/>
        <v>12082.6039572516</v>
      </c>
    </row>
    <row r="69" spans="1:12" ht="15.6" x14ac:dyDescent="0.3">
      <c r="A69" s="218" t="s">
        <v>143</v>
      </c>
      <c r="B69" s="225">
        <v>107.84</v>
      </c>
      <c r="C69" s="226">
        <f>B71</f>
        <v>58.720000000000169</v>
      </c>
      <c r="D69" s="226">
        <f>C71</f>
        <v>75.259999999999621</v>
      </c>
      <c r="E69" s="226">
        <v>0</v>
      </c>
      <c r="F69" s="226">
        <v>0</v>
      </c>
      <c r="G69" s="226">
        <v>0</v>
      </c>
      <c r="H69" s="226">
        <v>0</v>
      </c>
      <c r="I69" s="226">
        <v>0</v>
      </c>
      <c r="J69" s="226">
        <v>0</v>
      </c>
      <c r="K69" s="226">
        <v>0</v>
      </c>
      <c r="L69" s="226">
        <v>0</v>
      </c>
    </row>
    <row r="70" spans="1:12" ht="15.6" x14ac:dyDescent="0.3">
      <c r="A70" s="218" t="s">
        <v>144</v>
      </c>
      <c r="B70" s="225">
        <v>3.31</v>
      </c>
      <c r="C70" s="225">
        <v>5.69</v>
      </c>
      <c r="D70" s="225">
        <v>-2.44</v>
      </c>
      <c r="E70" s="215">
        <v>0</v>
      </c>
      <c r="F70" s="215"/>
      <c r="G70" s="215"/>
      <c r="H70" s="215"/>
      <c r="I70" s="215"/>
      <c r="J70" s="215"/>
      <c r="K70" s="215"/>
      <c r="L70" s="215"/>
    </row>
    <row r="71" spans="1:12" ht="15.6" x14ac:dyDescent="0.3">
      <c r="A71" s="126" t="s">
        <v>312</v>
      </c>
      <c r="B71" s="227">
        <f>SUM(B68:B70)</f>
        <v>58.720000000000169</v>
      </c>
      <c r="C71" s="227">
        <f t="shared" ref="C71:D71" si="15">SUM(C68:C70)</f>
        <v>75.259999999999621</v>
      </c>
      <c r="D71" s="227">
        <f t="shared" si="15"/>
        <v>141.46000000000041</v>
      </c>
      <c r="E71" s="227">
        <f>SUM(E67:E70)</f>
        <v>1480.3767970060408</v>
      </c>
      <c r="F71" s="227">
        <f t="shared" ref="F71:L71" si="16">SUM(F67:F70)</f>
        <v>2931.1837034372902</v>
      </c>
      <c r="G71" s="227">
        <f t="shared" si="16"/>
        <v>4469.8026531552114</v>
      </c>
      <c r="H71" s="227">
        <f t="shared" si="16"/>
        <v>6149.6657661167555</v>
      </c>
      <c r="I71" s="227">
        <f t="shared" si="16"/>
        <v>7972.5670258921036</v>
      </c>
      <c r="J71" s="227">
        <f t="shared" si="16"/>
        <v>9942.2824757209346</v>
      </c>
      <c r="K71" s="227">
        <f t="shared" si="16"/>
        <v>12082.6039572516</v>
      </c>
      <c r="L71" s="227">
        <f t="shared" si="16"/>
        <v>14405.1290225749</v>
      </c>
    </row>
    <row r="72" spans="1:12" ht="15.6" x14ac:dyDescent="0.3">
      <c r="B72" s="124"/>
      <c r="C72" s="124"/>
      <c r="D72" s="124"/>
      <c r="E72" s="125"/>
      <c r="F72" s="125"/>
      <c r="G72" s="125"/>
      <c r="H72" s="125"/>
      <c r="I72" s="125"/>
      <c r="J72" s="125"/>
      <c r="K72" s="125"/>
      <c r="L72" s="125"/>
    </row>
    <row r="73" spans="1:12" ht="15.6" x14ac:dyDescent="0.3">
      <c r="B73" s="127"/>
      <c r="C73" s="127"/>
      <c r="D73" s="127"/>
      <c r="E73" s="127"/>
      <c r="F73" s="127"/>
      <c r="G73" s="127"/>
      <c r="H73" s="127"/>
      <c r="I73" s="127"/>
      <c r="J73" s="127"/>
      <c r="K73" s="127"/>
      <c r="L73" s="127"/>
    </row>
    <row r="74" spans="1:12" x14ac:dyDescent="0.25">
      <c r="E74" s="129"/>
      <c r="F74" s="129"/>
      <c r="G74" s="129"/>
      <c r="H74" s="129"/>
      <c r="I74" s="129"/>
      <c r="J74" s="129"/>
      <c r="K74" s="129"/>
      <c r="L74" s="129"/>
    </row>
    <row r="75" spans="1:12" x14ac:dyDescent="0.25">
      <c r="E75" s="129"/>
      <c r="F75" s="129"/>
      <c r="G75" s="129"/>
      <c r="H75" s="129"/>
      <c r="I75" s="129"/>
      <c r="J75" s="129"/>
      <c r="K75" s="129"/>
      <c r="L75" s="129"/>
    </row>
    <row r="76" spans="1:12" x14ac:dyDescent="0.25">
      <c r="E76" s="129"/>
      <c r="F76" s="129"/>
      <c r="G76" s="129"/>
      <c r="H76" s="129"/>
      <c r="I76" s="129"/>
      <c r="J76" s="129"/>
      <c r="K76" s="129"/>
      <c r="L76" s="129"/>
    </row>
    <row r="77" spans="1:12" x14ac:dyDescent="0.25">
      <c r="E77" s="129"/>
      <c r="F77" s="129"/>
      <c r="G77" s="129"/>
      <c r="H77" s="129"/>
      <c r="I77" s="129"/>
      <c r="J77" s="129"/>
      <c r="K77" s="129"/>
      <c r="L77" s="129"/>
    </row>
    <row r="78" spans="1:12" x14ac:dyDescent="0.25">
      <c r="E78" s="129"/>
      <c r="F78" s="129"/>
      <c r="G78" s="129"/>
      <c r="H78" s="129"/>
      <c r="I78" s="129"/>
      <c r="J78" s="129"/>
      <c r="K78" s="129"/>
      <c r="L78" s="129"/>
    </row>
    <row r="79" spans="1:12" x14ac:dyDescent="0.25">
      <c r="E79" s="129"/>
      <c r="F79" s="129"/>
      <c r="G79" s="129"/>
      <c r="H79" s="129"/>
      <c r="I79" s="129"/>
      <c r="J79" s="129"/>
      <c r="K79" s="129"/>
      <c r="L79" s="129"/>
    </row>
    <row r="80" spans="1:12" x14ac:dyDescent="0.25">
      <c r="E80" s="129"/>
      <c r="F80" s="129"/>
      <c r="G80" s="129"/>
      <c r="H80" s="129"/>
      <c r="I80" s="129"/>
      <c r="J80" s="129"/>
      <c r="K80" s="129"/>
      <c r="L80" s="129"/>
    </row>
    <row r="81" spans="5:12" x14ac:dyDescent="0.25">
      <c r="E81" s="129"/>
      <c r="F81" s="129"/>
      <c r="G81" s="129"/>
      <c r="H81" s="129"/>
      <c r="I81" s="129"/>
      <c r="J81" s="129"/>
      <c r="K81" s="129"/>
      <c r="L81" s="129"/>
    </row>
    <row r="82" spans="5:12" x14ac:dyDescent="0.25">
      <c r="E82" s="129"/>
      <c r="F82" s="129"/>
      <c r="G82" s="129"/>
      <c r="H82" s="129"/>
      <c r="I82" s="129"/>
      <c r="J82" s="129"/>
      <c r="K82" s="129"/>
      <c r="L82" s="129"/>
    </row>
    <row r="83" spans="5:12" x14ac:dyDescent="0.25">
      <c r="E83" s="129"/>
      <c r="F83" s="129"/>
      <c r="G83" s="129"/>
      <c r="H83" s="129"/>
      <c r="I83" s="129"/>
      <c r="J83" s="129"/>
      <c r="K83" s="129"/>
      <c r="L83" s="129"/>
    </row>
    <row r="84" spans="5:12" x14ac:dyDescent="0.25">
      <c r="E84" s="129"/>
      <c r="F84" s="129"/>
      <c r="G84" s="129"/>
      <c r="H84" s="129"/>
      <c r="I84" s="129"/>
      <c r="J84" s="129"/>
      <c r="K84" s="129"/>
      <c r="L84" s="129"/>
    </row>
    <row r="85" spans="5:12" x14ac:dyDescent="0.25">
      <c r="E85" s="129"/>
      <c r="F85" s="129"/>
      <c r="G85" s="129"/>
      <c r="H85" s="129"/>
      <c r="I85" s="129"/>
      <c r="J85" s="129"/>
      <c r="K85" s="129"/>
      <c r="L85" s="129"/>
    </row>
    <row r="86" spans="5:12" x14ac:dyDescent="0.25">
      <c r="E86" s="129"/>
      <c r="F86" s="129"/>
      <c r="G86" s="129"/>
      <c r="H86" s="129"/>
      <c r="I86" s="129"/>
      <c r="J86" s="129"/>
      <c r="K86" s="129"/>
      <c r="L86" s="129"/>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7E9C3"/>
  </sheetPr>
  <dimension ref="A1:S44"/>
  <sheetViews>
    <sheetView showGridLines="0" zoomScale="70" zoomScaleNormal="70" workbookViewId="0">
      <selection activeCell="D10" sqref="D10"/>
    </sheetView>
  </sheetViews>
  <sheetFormatPr defaultRowHeight="14.4" x14ac:dyDescent="0.3"/>
  <cols>
    <col min="1" max="1" width="41.44140625" bestFit="1" customWidth="1"/>
    <col min="2" max="2" width="26.44140625" bestFit="1" customWidth="1"/>
    <col min="3" max="3" width="15.21875" customWidth="1"/>
    <col min="4" max="4" width="18.21875" customWidth="1"/>
    <col min="5" max="5" width="14" customWidth="1"/>
    <col min="6" max="6" width="14.109375" customWidth="1"/>
    <col min="7" max="7" width="14" customWidth="1"/>
    <col min="8" max="8" width="11.88671875" customWidth="1"/>
    <col min="9" max="10" width="11.44140625" customWidth="1"/>
    <col min="11" max="11" width="11.6640625" customWidth="1"/>
    <col min="12" max="12" width="12.5546875" customWidth="1"/>
    <col min="13" max="13" width="16.6640625" bestFit="1" customWidth="1"/>
    <col min="14" max="14" width="15.5546875" bestFit="1" customWidth="1"/>
  </cols>
  <sheetData>
    <row r="1" spans="1:19" s="4" customFormat="1" ht="34.5" customHeight="1" x14ac:dyDescent="0.2">
      <c r="A1" s="288" t="str">
        <f>[3]Assumptions!A1</f>
        <v>Britannia Ltd.</v>
      </c>
      <c r="B1" s="289"/>
      <c r="C1" s="289"/>
      <c r="D1" s="289"/>
      <c r="E1" s="289"/>
      <c r="F1" s="289"/>
      <c r="G1" s="289"/>
      <c r="H1" s="289"/>
      <c r="I1" s="289"/>
      <c r="J1" s="289"/>
      <c r="K1" s="289"/>
      <c r="L1" s="289"/>
      <c r="M1" s="289"/>
      <c r="N1" s="289"/>
      <c r="O1" s="289"/>
      <c r="P1" s="289"/>
      <c r="Q1" s="289"/>
      <c r="R1" s="289"/>
      <c r="S1" s="289"/>
    </row>
    <row r="2" spans="1:19" s="6" customFormat="1" ht="19.5" customHeight="1" x14ac:dyDescent="0.2">
      <c r="A2" s="290" t="s">
        <v>34</v>
      </c>
      <c r="B2" s="291"/>
      <c r="C2" s="291"/>
      <c r="D2" s="291"/>
      <c r="E2" s="291"/>
      <c r="F2" s="291"/>
      <c r="G2" s="291"/>
      <c r="H2" s="291"/>
      <c r="I2" s="291"/>
      <c r="J2" s="291"/>
      <c r="K2" s="291"/>
      <c r="L2" s="291"/>
      <c r="M2" s="291"/>
      <c r="N2" s="291"/>
      <c r="O2" s="291"/>
      <c r="P2" s="291"/>
      <c r="Q2" s="291"/>
      <c r="R2" s="291"/>
      <c r="S2" s="291"/>
    </row>
    <row r="5" spans="1:19" s="59" customFormat="1" ht="14.4" customHeight="1" x14ac:dyDescent="0.3">
      <c r="A5" s="339" t="s">
        <v>157</v>
      </c>
      <c r="B5" s="371">
        <v>3.7999999999999999E-2</v>
      </c>
      <c r="C5" s="325"/>
      <c r="D5" s="301"/>
      <c r="E5" s="301"/>
      <c r="F5" s="301"/>
      <c r="G5" s="301"/>
      <c r="H5" s="326"/>
      <c r="I5" s="301"/>
    </row>
    <row r="6" spans="1:19" s="59" customFormat="1" ht="14.4" customHeight="1" x14ac:dyDescent="0.3">
      <c r="A6" s="330"/>
      <c r="B6" s="301"/>
      <c r="C6" s="325"/>
      <c r="D6" s="301"/>
      <c r="E6" s="330"/>
      <c r="F6" s="301"/>
      <c r="G6" s="301"/>
      <c r="H6" s="326"/>
      <c r="I6" s="301"/>
    </row>
    <row r="7" spans="1:19" s="59" customFormat="1" ht="14.4" customHeight="1" x14ac:dyDescent="0.3">
      <c r="A7" s="338" t="s">
        <v>340</v>
      </c>
      <c r="B7" s="367">
        <f>E7+(B8*E9)</f>
        <v>0.11767</v>
      </c>
      <c r="C7" s="327"/>
      <c r="D7" s="360" t="s">
        <v>363</v>
      </c>
      <c r="E7" s="363">
        <v>7.4200000000000002E-2</v>
      </c>
      <c r="F7" s="301"/>
      <c r="G7" s="301"/>
      <c r="H7" s="328"/>
      <c r="I7" s="301"/>
    </row>
    <row r="8" spans="1:19" s="59" customFormat="1" ht="15.6" x14ac:dyDescent="0.3">
      <c r="A8" s="338" t="s">
        <v>341</v>
      </c>
      <c r="B8" s="338">
        <v>0.69</v>
      </c>
      <c r="C8" s="327"/>
      <c r="D8" s="360" t="s">
        <v>365</v>
      </c>
      <c r="E8" s="363">
        <v>0.13719999999999999</v>
      </c>
      <c r="F8" s="301"/>
      <c r="G8" s="301"/>
      <c r="H8" s="328"/>
      <c r="I8" s="301"/>
    </row>
    <row r="9" spans="1:19" s="59" customFormat="1" ht="14.4" customHeight="1" x14ac:dyDescent="0.3">
      <c r="A9" s="338" t="s">
        <v>342</v>
      </c>
      <c r="B9" s="362">
        <f>'Income Statement'!D26*-1/('Balance Sheet'!D38 + 'Balance Sheet'!D45)</f>
        <v>5.3134148152761872E-2</v>
      </c>
      <c r="C9" s="327"/>
      <c r="D9" s="360" t="s">
        <v>364</v>
      </c>
      <c r="E9" s="364">
        <f>E8-E7</f>
        <v>6.2999999999999987E-2</v>
      </c>
      <c r="F9" s="301"/>
      <c r="G9" s="301"/>
      <c r="H9" s="326"/>
      <c r="I9" s="301"/>
    </row>
    <row r="10" spans="1:19" s="59" customFormat="1" ht="14.4" customHeight="1" x14ac:dyDescent="0.3">
      <c r="A10" s="338" t="s">
        <v>343</v>
      </c>
      <c r="B10" s="362">
        <f>'Income Statement'!B32*-1/'Income Statement'!B31</f>
        <v>0.33895259139535805</v>
      </c>
      <c r="C10" s="327"/>
      <c r="D10" s="361" t="s">
        <v>366</v>
      </c>
      <c r="E10" s="365">
        <f>E12/(E12+E13)</f>
        <v>0.63196835926272721</v>
      </c>
      <c r="F10" s="301"/>
      <c r="G10" s="301"/>
      <c r="H10" s="326"/>
      <c r="I10" s="301"/>
    </row>
    <row r="11" spans="1:19" s="59" customFormat="1" ht="15.6" x14ac:dyDescent="0.3">
      <c r="A11" s="340" t="s">
        <v>16</v>
      </c>
      <c r="B11" s="366">
        <f>(E10*B7) +(E11*B9)</f>
        <v>9.3918764558283394E-2</v>
      </c>
      <c r="C11" s="331"/>
      <c r="D11" s="361" t="s">
        <v>367</v>
      </c>
      <c r="E11" s="365">
        <f>E13/(E12+E13)</f>
        <v>0.3680316407372729</v>
      </c>
      <c r="F11" s="301"/>
      <c r="G11" s="301"/>
      <c r="H11" s="326"/>
      <c r="I11" s="301"/>
    </row>
    <row r="12" spans="1:19" s="59" customFormat="1" ht="15.6" x14ac:dyDescent="0.3">
      <c r="A12" s="330"/>
      <c r="B12" s="301"/>
      <c r="C12" s="331"/>
      <c r="D12" s="361" t="s">
        <v>166</v>
      </c>
      <c r="E12" s="361">
        <f>'Balance Sheet'!D59</f>
        <v>3584.0000000000005</v>
      </c>
      <c r="F12" s="301"/>
      <c r="G12" s="301"/>
      <c r="H12" s="326"/>
      <c r="I12" s="301"/>
    </row>
    <row r="13" spans="1:19" s="59" customFormat="1" ht="15.6" x14ac:dyDescent="0.3">
      <c r="A13" s="338" t="s">
        <v>344</v>
      </c>
      <c r="B13" s="338">
        <f>'Income Statement'!D45</f>
        <v>24.07</v>
      </c>
      <c r="C13" s="329"/>
      <c r="D13" s="360" t="s">
        <v>368</v>
      </c>
      <c r="E13" s="361">
        <f>'Balance Sheet'!D45+'Balance Sheet'!D38</f>
        <v>2087.17</v>
      </c>
      <c r="F13" s="301"/>
      <c r="G13" s="301"/>
      <c r="H13" s="326"/>
      <c r="I13" s="301"/>
    </row>
    <row r="14" spans="1:19" s="59" customFormat="1" ht="14.4" customHeight="1" x14ac:dyDescent="0.3">
      <c r="A14" s="338" t="s">
        <v>345</v>
      </c>
      <c r="B14" s="338">
        <v>3815</v>
      </c>
      <c r="C14" s="332"/>
      <c r="D14" s="360"/>
      <c r="E14" s="361"/>
      <c r="F14" s="301"/>
      <c r="G14" s="301"/>
      <c r="H14" s="326"/>
      <c r="I14" s="301"/>
    </row>
    <row r="15" spans="1:19" s="59" customFormat="1" ht="15.6" x14ac:dyDescent="0.3">
      <c r="A15" s="338" t="s">
        <v>13</v>
      </c>
      <c r="B15" s="338">
        <f>B13*B14</f>
        <v>91827.05</v>
      </c>
      <c r="C15" s="301"/>
      <c r="D15" s="361"/>
      <c r="E15" s="361"/>
      <c r="F15" s="301"/>
      <c r="G15" s="301"/>
      <c r="H15" s="326"/>
      <c r="I15" s="333"/>
      <c r="N15" s="60"/>
    </row>
    <row r="16" spans="1:19" s="59" customFormat="1" ht="15.6" x14ac:dyDescent="0.3">
      <c r="A16" s="338" t="s">
        <v>46</v>
      </c>
      <c r="B16" s="338">
        <f>E13</f>
        <v>2087.17</v>
      </c>
      <c r="C16" s="301"/>
      <c r="D16" s="301"/>
      <c r="E16" s="301"/>
      <c r="F16" s="301"/>
      <c r="G16" s="301"/>
      <c r="H16" s="301"/>
      <c r="I16" s="333"/>
      <c r="N16" s="60"/>
    </row>
    <row r="17" spans="1:14" s="59" customFormat="1" ht="15.6" x14ac:dyDescent="0.3">
      <c r="A17" s="338" t="s">
        <v>173</v>
      </c>
      <c r="B17" s="338">
        <f>'Balance Sheet'!D8+'Balance Sheet'!D9+'Balance Sheet'!D10</f>
        <v>1604.59</v>
      </c>
      <c r="C17" s="301"/>
      <c r="D17" s="301"/>
      <c r="E17" s="301"/>
      <c r="F17" s="301"/>
      <c r="G17" s="301"/>
      <c r="H17" s="301"/>
      <c r="I17" s="333"/>
      <c r="N17" s="60" t="s">
        <v>330</v>
      </c>
    </row>
    <row r="18" spans="1:14" s="59" customFormat="1" ht="15.6" x14ac:dyDescent="0.3">
      <c r="A18" s="338" t="s">
        <v>60</v>
      </c>
      <c r="B18" s="338">
        <f>'Balance Sheet'!D58</f>
        <v>36.340000000000003</v>
      </c>
      <c r="C18" s="301"/>
      <c r="D18" s="301"/>
      <c r="E18" s="301"/>
      <c r="F18" s="301"/>
      <c r="G18" s="301"/>
      <c r="H18" s="301"/>
      <c r="I18" s="333"/>
      <c r="N18" s="60"/>
    </row>
    <row r="19" spans="1:14" s="59" customFormat="1" ht="15.6" x14ac:dyDescent="0.3">
      <c r="A19" s="341" t="s">
        <v>23</v>
      </c>
      <c r="B19" s="368">
        <f>B15+B16-B17+B18</f>
        <v>92345.97</v>
      </c>
      <c r="C19" s="334"/>
      <c r="D19" s="330"/>
      <c r="E19" s="330"/>
      <c r="F19" s="301"/>
      <c r="G19" s="301"/>
      <c r="H19" s="335"/>
      <c r="I19" s="301"/>
    </row>
    <row r="20" spans="1:14" s="59" customFormat="1" ht="15.6" x14ac:dyDescent="0.3">
      <c r="A20" s="301"/>
      <c r="B20" s="301"/>
      <c r="C20" s="336"/>
      <c r="D20" s="330"/>
      <c r="E20" s="330"/>
      <c r="F20" s="330"/>
      <c r="G20" s="330"/>
      <c r="H20" s="337"/>
      <c r="I20" s="301"/>
    </row>
    <row r="21" spans="1:14" s="59" customFormat="1" ht="13.8" x14ac:dyDescent="0.3">
      <c r="A21" s="294"/>
      <c r="B21" s="294"/>
      <c r="C21" s="294"/>
      <c r="D21" s="294"/>
      <c r="E21" s="295"/>
      <c r="F21" s="296"/>
      <c r="G21" s="297" t="s">
        <v>335</v>
      </c>
      <c r="H21" s="297" t="s">
        <v>336</v>
      </c>
      <c r="J21" s="292" t="s">
        <v>24</v>
      </c>
      <c r="K21" s="292"/>
      <c r="L21" s="292"/>
      <c r="M21" s="293"/>
    </row>
    <row r="22" spans="1:14" s="59" customFormat="1" ht="13.8" x14ac:dyDescent="0.3">
      <c r="A22" s="294"/>
      <c r="B22" s="294"/>
      <c r="C22" s="294"/>
      <c r="D22" s="294"/>
      <c r="E22" s="292" t="s">
        <v>337</v>
      </c>
      <c r="F22" s="292"/>
      <c r="G22" s="298"/>
      <c r="H22" s="298"/>
    </row>
    <row r="24" spans="1:14" s="59" customFormat="1" ht="15.6" x14ac:dyDescent="0.3">
      <c r="A24" s="311" t="s">
        <v>155</v>
      </c>
      <c r="B24" s="303"/>
      <c r="C24" s="303"/>
      <c r="D24" s="303"/>
      <c r="E24" s="303"/>
      <c r="F24" s="303"/>
      <c r="G24" s="303"/>
      <c r="H24" s="303"/>
      <c r="I24" s="303"/>
      <c r="J24" s="303"/>
      <c r="K24" s="303"/>
      <c r="L24" s="303"/>
      <c r="M24" s="303"/>
      <c r="N24" s="303"/>
    </row>
    <row r="25" spans="1:14" s="59" customFormat="1" ht="15.6" x14ac:dyDescent="0.3">
      <c r="A25" s="302"/>
      <c r="B25" s="303"/>
      <c r="C25" s="303"/>
      <c r="D25" s="303"/>
      <c r="E25" s="303"/>
      <c r="F25" s="303"/>
      <c r="G25" s="303"/>
      <c r="H25" s="303"/>
      <c r="I25" s="303"/>
      <c r="J25" s="303"/>
      <c r="K25" s="303"/>
      <c r="L25" s="303"/>
      <c r="M25" s="303"/>
      <c r="N25" s="303"/>
    </row>
    <row r="26" spans="1:14" s="59" customFormat="1" ht="15.6" x14ac:dyDescent="0.3">
      <c r="A26" s="312" t="s">
        <v>64</v>
      </c>
      <c r="B26" s="312" t="str">
        <f>Assumptions!B5</f>
        <v>FY2019 A</v>
      </c>
      <c r="C26" s="312" t="str">
        <f>Assumptions!C5</f>
        <v>FY2020 A</v>
      </c>
      <c r="D26" s="312" t="str">
        <f>Assumptions!D5</f>
        <v>FY2021 A</v>
      </c>
      <c r="E26" s="312" t="str">
        <f>Assumptions!E5</f>
        <v>FY2022 E</v>
      </c>
      <c r="F26" s="312" t="str">
        <f>Assumptions!F5</f>
        <v>FY2023 E</v>
      </c>
      <c r="G26" s="312" t="str">
        <f>Assumptions!G5</f>
        <v>FY2024 E</v>
      </c>
      <c r="H26" s="312" t="str">
        <f>Assumptions!H5</f>
        <v>FY2025 E</v>
      </c>
      <c r="I26" s="312" t="str">
        <f>Assumptions!I5</f>
        <v>FY2026 E</v>
      </c>
      <c r="J26" s="312" t="str">
        <f>Assumptions!J5</f>
        <v>FY2027 E</v>
      </c>
      <c r="K26" s="312" t="str">
        <f>Assumptions!K5</f>
        <v>FY2028 E</v>
      </c>
      <c r="L26" s="312" t="str">
        <f>Assumptions!L5</f>
        <v>FY2029 E</v>
      </c>
      <c r="M26" s="313" t="s">
        <v>22</v>
      </c>
      <c r="N26" s="304"/>
    </row>
    <row r="27" spans="1:14" s="59" customFormat="1" ht="15.6" x14ac:dyDescent="0.3">
      <c r="A27" s="306" t="s">
        <v>17</v>
      </c>
      <c r="B27" s="314">
        <f>'Income Statement'!B7</f>
        <v>11054</v>
      </c>
      <c r="C27" s="314">
        <f>'Income Statement'!C7</f>
        <v>11599</v>
      </c>
      <c r="D27" s="314">
        <f>'Income Statement'!D7</f>
        <v>13136</v>
      </c>
      <c r="E27" s="314">
        <f>'Income Statement'!E7</f>
        <v>14318.24</v>
      </c>
      <c r="F27" s="314">
        <f>'Income Statement'!F7</f>
        <v>15606.881600000001</v>
      </c>
      <c r="G27" s="314">
        <f>'Income Statement'!G7</f>
        <v>17011.500943999999</v>
      </c>
      <c r="H27" s="314">
        <f>'Income Statement'!H7</f>
        <v>18542.536028959999</v>
      </c>
      <c r="I27" s="314">
        <f>'Income Statement'!I7</f>
        <v>20211.364271566399</v>
      </c>
      <c r="J27" s="314">
        <f>'Income Statement'!J7</f>
        <v>22030.387056007374</v>
      </c>
      <c r="K27" s="314">
        <f>'Income Statement'!K7</f>
        <v>24013.121891048038</v>
      </c>
      <c r="L27" s="314">
        <f>'Income Statement'!L7</f>
        <v>26174.302861242362</v>
      </c>
      <c r="M27" s="307"/>
      <c r="N27" s="305"/>
    </row>
    <row r="28" spans="1:14" s="59" customFormat="1" ht="15.6" x14ac:dyDescent="0.3">
      <c r="A28" s="306" t="s">
        <v>188</v>
      </c>
      <c r="B28" s="315"/>
      <c r="C28" s="316">
        <f>(C27/B27)-1</f>
        <v>4.9303419576623764E-2</v>
      </c>
      <c r="D28" s="316">
        <f t="shared" ref="D28:L28" si="0">(D27/C27)-1</f>
        <v>0.13251142339856892</v>
      </c>
      <c r="E28" s="316">
        <f t="shared" si="0"/>
        <v>9.000000000000008E-2</v>
      </c>
      <c r="F28" s="316">
        <f t="shared" si="0"/>
        <v>9.000000000000008E-2</v>
      </c>
      <c r="G28" s="316">
        <f t="shared" si="0"/>
        <v>8.9999999999999858E-2</v>
      </c>
      <c r="H28" s="316">
        <f t="shared" si="0"/>
        <v>9.000000000000008E-2</v>
      </c>
      <c r="I28" s="316">
        <f t="shared" si="0"/>
        <v>9.000000000000008E-2</v>
      </c>
      <c r="J28" s="316">
        <f t="shared" si="0"/>
        <v>8.9999999999999858E-2</v>
      </c>
      <c r="K28" s="316">
        <f t="shared" si="0"/>
        <v>9.000000000000008E-2</v>
      </c>
      <c r="L28" s="316">
        <f t="shared" si="0"/>
        <v>9.000000000000008E-2</v>
      </c>
      <c r="M28" s="307"/>
      <c r="N28" s="305"/>
    </row>
    <row r="29" spans="1:14" s="59" customFormat="1" ht="15.6" x14ac:dyDescent="0.3">
      <c r="A29" s="306" t="s">
        <v>2</v>
      </c>
      <c r="B29" s="314">
        <f>'Income Statement'!B23</f>
        <v>1735</v>
      </c>
      <c r="C29" s="314">
        <f>'Income Statement'!C23</f>
        <v>1842.5300000000007</v>
      </c>
      <c r="D29" s="314">
        <f>'Income Statement'!D23</f>
        <v>2510</v>
      </c>
      <c r="E29" s="314">
        <f>'Income Statement'!E23</f>
        <v>2419.2441881295272</v>
      </c>
      <c r="F29" s="314">
        <f>'Income Statement'!F23</f>
        <v>2699.4330419861699</v>
      </c>
      <c r="G29" s="314">
        <f>'Income Statement'!G23</f>
        <v>3022.402941893873</v>
      </c>
      <c r="H29" s="314">
        <f>'Income Statement'!H23</f>
        <v>3211.5356618524274</v>
      </c>
      <c r="I29" s="314">
        <f>'Income Statement'!I23</f>
        <v>3529.111626537855</v>
      </c>
      <c r="J29" s="314">
        <f>'Income Statement'!J23</f>
        <v>3858.818884070336</v>
      </c>
      <c r="K29" s="314">
        <f>'Income Statement'!K23</f>
        <v>4186.0273079197923</v>
      </c>
      <c r="L29" s="314">
        <f>'Income Statement'!L23</f>
        <v>4572.5781274667443</v>
      </c>
      <c r="M29" s="307"/>
      <c r="N29" s="305"/>
    </row>
    <row r="30" spans="1:14" s="59" customFormat="1" ht="15.6" x14ac:dyDescent="0.3">
      <c r="A30" s="308" t="s">
        <v>18</v>
      </c>
      <c r="B30" s="314">
        <f>'Income Statement'!B25</f>
        <v>1573.12</v>
      </c>
      <c r="C30" s="314">
        <f>'Income Statement'!C25</f>
        <v>1657.7200000000007</v>
      </c>
      <c r="D30" s="314">
        <f>'Income Statement'!D25</f>
        <v>2312.15</v>
      </c>
      <c r="E30" s="314">
        <f>'Income Statement'!E25</f>
        <v>2194.2699751125015</v>
      </c>
      <c r="F30" s="314">
        <f>'Income Statement'!F25</f>
        <v>2463.1179526453197</v>
      </c>
      <c r="G30" s="314">
        <f>'Income Statement'!G25</f>
        <v>2767.8802782504149</v>
      </c>
      <c r="H30" s="314">
        <f>'Income Statement'!H25</f>
        <v>2933.1867149327295</v>
      </c>
      <c r="I30" s="314">
        <f>'Income Statement'!I25</f>
        <v>3229.9576883470409</v>
      </c>
      <c r="J30" s="314">
        <f>'Income Statement'!J25</f>
        <v>3534.8121839819892</v>
      </c>
      <c r="K30" s="314">
        <f>'Income Statement'!K25</f>
        <v>3834.4846826758799</v>
      </c>
      <c r="L30" s="314">
        <f>'Income Statement'!L25</f>
        <v>4192.1964299070978</v>
      </c>
      <c r="M30" s="307"/>
      <c r="N30" s="305"/>
    </row>
    <row r="31" spans="1:14" s="59" customFormat="1" ht="15.6" x14ac:dyDescent="0.3">
      <c r="A31" s="308" t="s">
        <v>29</v>
      </c>
      <c r="B31" s="316">
        <f>ABS(SUM('Income Statement'!B32:B34))/'Income Statement'!B31</f>
        <v>0.34612406824488134</v>
      </c>
      <c r="C31" s="316">
        <f>ABS(SUM('Income Statement'!C32:C34))/'Income Statement'!C31</f>
        <v>0.2444607165134379</v>
      </c>
      <c r="D31" s="316">
        <f>ABS(SUM('Income Statement'!D32:D34))/'Income Statement'!D31</f>
        <v>0.26368390701743921</v>
      </c>
      <c r="E31" s="316">
        <f>ABS(SUM('Income Statement'!E32:E34))/'Income Statement'!E31</f>
        <v>0.25407231176543854</v>
      </c>
      <c r="F31" s="316">
        <f>ABS(SUM('Income Statement'!F32:F34))/'Income Statement'!F31</f>
        <v>0.25407231176543854</v>
      </c>
      <c r="G31" s="316">
        <f>ABS(SUM('Income Statement'!G32:G34))/'Income Statement'!G31</f>
        <v>0.25727617684943876</v>
      </c>
      <c r="H31" s="316">
        <f>ABS(SUM('Income Statement'!H32:H34))/'Income Statement'!H31</f>
        <v>0.2551402667934386</v>
      </c>
      <c r="I31" s="316">
        <f>ABS(SUM('Income Statement'!I32:I34))/'Income Statement'!I31</f>
        <v>0.25549625180277197</v>
      </c>
      <c r="J31" s="316">
        <f>ABS(SUM('Income Statement'!J32:J34))/'Income Statement'!J31</f>
        <v>0.25597089848188309</v>
      </c>
      <c r="K31" s="316">
        <f>ABS(SUM('Income Statement'!K32:K34))/'Income Statement'!K31</f>
        <v>0.2555358056926979</v>
      </c>
      <c r="L31" s="316">
        <f>ABS(SUM('Income Statement'!L32:L34))/'Income Statement'!L31</f>
        <v>0.25566765199245101</v>
      </c>
      <c r="M31" s="307"/>
      <c r="N31" s="305"/>
    </row>
    <row r="32" spans="1:14" s="59" customFormat="1" ht="15.6" x14ac:dyDescent="0.3">
      <c r="A32" s="309" t="s">
        <v>338</v>
      </c>
      <c r="B32" s="317">
        <f>'Income Statement'!B41</f>
        <v>1160.8799999999999</v>
      </c>
      <c r="C32" s="317">
        <f>'Income Statement'!C41</f>
        <v>1398.0700000000006</v>
      </c>
      <c r="D32" s="317">
        <f>'Income Statement'!D41</f>
        <v>1849.9299999999998</v>
      </c>
      <c r="E32" s="317">
        <f>'Income Statement'!E41</f>
        <v>1782.876471153847</v>
      </c>
      <c r="F32" s="317">
        <f>'Income Statement'!F41</f>
        <v>1988.2257737783416</v>
      </c>
      <c r="G32" s="317">
        <f>'Income Statement'!G41</f>
        <v>2204.636978113148</v>
      </c>
      <c r="H32" s="317">
        <f>'Income Statement'!H41</f>
        <v>2333.444953544516</v>
      </c>
      <c r="I32" s="317">
        <f>'Income Statement'!I41</f>
        <v>2554.1869904906812</v>
      </c>
      <c r="J32" s="317">
        <f>'Income Statement'!J41</f>
        <v>2778.9933334808411</v>
      </c>
      <c r="K32" s="317">
        <f>'Income Statement'!K41</f>
        <v>3003.6679241008078</v>
      </c>
      <c r="L32" s="317">
        <f>'Income Statement'!L41</f>
        <v>3269.5517048700922</v>
      </c>
      <c r="M32" s="307"/>
      <c r="N32" s="305"/>
    </row>
    <row r="33" spans="1:14" s="59" customFormat="1" ht="15.6" x14ac:dyDescent="0.3">
      <c r="A33" s="309" t="s">
        <v>19</v>
      </c>
      <c r="B33" s="317">
        <f>CFS!B32</f>
        <v>1155.7800000000002</v>
      </c>
      <c r="C33" s="317">
        <f>CFS!C32</f>
        <v>1484.5299999999997</v>
      </c>
      <c r="D33" s="317">
        <f>CFS!D32</f>
        <v>1851.0700000000006</v>
      </c>
      <c r="E33" s="317">
        <f>CFS!E32</f>
        <v>1905.078079319796</v>
      </c>
      <c r="F33" s="317">
        <f>CFS!F32</f>
        <v>2106.7103302882169</v>
      </c>
      <c r="G33" s="317">
        <f>CFS!G32</f>
        <v>2284.7204923146091</v>
      </c>
      <c r="H33" s="317">
        <f>CFS!H32</f>
        <v>2485.0173474267303</v>
      </c>
      <c r="I33" s="317">
        <f>CFS!I32</f>
        <v>2724.535797067057</v>
      </c>
      <c r="J33" s="317">
        <f>CFS!J32</f>
        <v>2968.5820371883897</v>
      </c>
      <c r="K33" s="317">
        <f>CFS!K32</f>
        <v>3238.1919992061139</v>
      </c>
      <c r="L33" s="317">
        <f>CFS!L32</f>
        <v>3536.5983577419956</v>
      </c>
      <c r="M33" s="307"/>
      <c r="N33" s="305"/>
    </row>
    <row r="34" spans="1:14" s="59" customFormat="1" ht="15.6" x14ac:dyDescent="0.3">
      <c r="A34" s="308" t="s">
        <v>20</v>
      </c>
      <c r="B34" s="314">
        <f>SUM(CFS!B35:B46)</f>
        <v>-855.53</v>
      </c>
      <c r="C34" s="314">
        <f>SUM(CFS!C35:C46)</f>
        <v>-1531.6200000000003</v>
      </c>
      <c r="D34" s="314">
        <f>SUM(CFS!D35:D46)</f>
        <v>461.26000000000016</v>
      </c>
      <c r="E34" s="314">
        <f>CFS!E35</f>
        <v>-208.34612509617668</v>
      </c>
      <c r="F34" s="314">
        <f>CFS!F35</f>
        <v>-240.87585195324607</v>
      </c>
      <c r="G34" s="314">
        <f>CFS!G35</f>
        <v>-262.09706831750441</v>
      </c>
      <c r="H34" s="314">
        <f>CFS!H35</f>
        <v>-280.33028411424277</v>
      </c>
      <c r="I34" s="314">
        <f>CFS!I35</f>
        <v>-309.60303429003648</v>
      </c>
      <c r="J34" s="314">
        <f>CFS!J35</f>
        <v>-336.62646672522794</v>
      </c>
      <c r="K34" s="314">
        <f>CFS!K35</f>
        <v>-365.91954855187203</v>
      </c>
      <c r="L34" s="314">
        <f>CFS!L35</f>
        <v>-399.91238528991585</v>
      </c>
      <c r="M34" s="307"/>
      <c r="N34" s="305"/>
    </row>
    <row r="35" spans="1:14" s="59" customFormat="1" ht="15.6" x14ac:dyDescent="0.3">
      <c r="A35" s="310" t="s">
        <v>21</v>
      </c>
      <c r="B35" s="317">
        <f>B33+B34</f>
        <v>300.25000000000023</v>
      </c>
      <c r="C35" s="317">
        <f t="shared" ref="C35:L35" si="1">C33+C34</f>
        <v>-47.0900000000006</v>
      </c>
      <c r="D35" s="317">
        <f t="shared" si="1"/>
        <v>2312.3300000000008</v>
      </c>
      <c r="E35" s="317">
        <f t="shared" si="1"/>
        <v>1696.7319542236194</v>
      </c>
      <c r="F35" s="317">
        <f t="shared" si="1"/>
        <v>1865.8344783349708</v>
      </c>
      <c r="G35" s="317">
        <f t="shared" si="1"/>
        <v>2022.6234239971047</v>
      </c>
      <c r="H35" s="317">
        <f t="shared" si="1"/>
        <v>2204.6870633124877</v>
      </c>
      <c r="I35" s="317">
        <f t="shared" si="1"/>
        <v>2414.9327627770208</v>
      </c>
      <c r="J35" s="317">
        <f t="shared" si="1"/>
        <v>2631.9555704631616</v>
      </c>
      <c r="K35" s="317">
        <f t="shared" si="1"/>
        <v>2872.2724506542418</v>
      </c>
      <c r="L35" s="317">
        <f t="shared" si="1"/>
        <v>3136.68597245208</v>
      </c>
      <c r="M35" s="369">
        <f>B42</f>
        <v>58225.178347989036</v>
      </c>
      <c r="N35" s="305"/>
    </row>
    <row r="36" spans="1:14" x14ac:dyDescent="0.3">
      <c r="A36" t="s">
        <v>370</v>
      </c>
      <c r="E36">
        <v>1</v>
      </c>
      <c r="F36">
        <v>2</v>
      </c>
      <c r="G36">
        <v>3</v>
      </c>
      <c r="H36">
        <v>4</v>
      </c>
      <c r="I36">
        <v>5</v>
      </c>
      <c r="J36">
        <v>6</v>
      </c>
      <c r="K36">
        <v>7</v>
      </c>
      <c r="L36">
        <v>8</v>
      </c>
      <c r="M36" s="359">
        <v>8</v>
      </c>
    </row>
    <row r="37" spans="1:14" x14ac:dyDescent="0.3">
      <c r="A37" t="s">
        <v>369</v>
      </c>
      <c r="E37">
        <f>1*((1+$B$11)^E36)</f>
        <v>1.0939187645582833</v>
      </c>
      <c r="F37" s="359">
        <f t="shared" ref="F37:L37" si="2">1*((1+$B$11)^F36)</f>
        <v>1.1966582634527207</v>
      </c>
      <c r="G37" s="359">
        <f t="shared" si="2"/>
        <v>1.3090469291546609</v>
      </c>
      <c r="H37" s="359">
        <f t="shared" si="2"/>
        <v>1.4319909994896811</v>
      </c>
      <c r="I37" s="359">
        <f t="shared" si="2"/>
        <v>1.5664818250203332</v>
      </c>
      <c r="J37" s="359">
        <f t="shared" si="2"/>
        <v>1.7136038627292478</v>
      </c>
      <c r="K37" s="359">
        <f t="shared" si="2"/>
        <v>1.8745434204590807</v>
      </c>
      <c r="L37" s="359">
        <f t="shared" si="2"/>
        <v>2.0505982226194557</v>
      </c>
    </row>
    <row r="38" spans="1:14" x14ac:dyDescent="0.3">
      <c r="A38" t="s">
        <v>371</v>
      </c>
      <c r="E38" s="370">
        <f>E35/E37</f>
        <v>1551.0584599110957</v>
      </c>
      <c r="F38" s="370">
        <f>F35/F37</f>
        <v>1559.2041064016676</v>
      </c>
      <c r="G38" s="370">
        <f t="shared" ref="G38:L38" si="3">G35/G37</f>
        <v>1545.1114692299441</v>
      </c>
      <c r="H38" s="370">
        <f t="shared" si="3"/>
        <v>1539.595614845465</v>
      </c>
      <c r="I38" s="370">
        <f t="shared" si="3"/>
        <v>1541.6283318484557</v>
      </c>
      <c r="J38" s="370">
        <f t="shared" si="3"/>
        <v>1535.9183226111898</v>
      </c>
      <c r="K38" s="370">
        <f t="shared" si="3"/>
        <v>1532.2517575777542</v>
      </c>
      <c r="L38" s="370">
        <f t="shared" si="3"/>
        <v>1529.6443437102196</v>
      </c>
    </row>
    <row r="40" spans="1:14" x14ac:dyDescent="0.3">
      <c r="A40" t="s">
        <v>372</v>
      </c>
      <c r="B40" s="370">
        <f>SUM(E38:L38)</f>
        <v>12334.412406135791</v>
      </c>
    </row>
    <row r="41" spans="1:14" x14ac:dyDescent="0.3">
      <c r="A41" t="s">
        <v>22</v>
      </c>
      <c r="B41" t="s">
        <v>373</v>
      </c>
    </row>
    <row r="42" spans="1:14" x14ac:dyDescent="0.3">
      <c r="B42" s="369">
        <f>(L35*(1+B5))/(B11-B5)</f>
        <v>58225.178347989036</v>
      </c>
    </row>
    <row r="43" spans="1:14" x14ac:dyDescent="0.3">
      <c r="A43" t="s">
        <v>156</v>
      </c>
      <c r="B43">
        <f>M35/L37</f>
        <v>28394.240132331521</v>
      </c>
    </row>
    <row r="44" spans="1:14" x14ac:dyDescent="0.3">
      <c r="A44" t="s">
        <v>374</v>
      </c>
      <c r="B44" s="370">
        <f>B40+B43</f>
        <v>40728.652538467315</v>
      </c>
    </row>
  </sheetData>
  <pageMargins left="0.7" right="0.7" top="0.75" bottom="0.75" header="0.3" footer="0.3"/>
  <pageSetup paperSize="9"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AC18"/>
  <sheetViews>
    <sheetView showGridLines="0" zoomScale="85" zoomScaleNormal="85" workbookViewId="0">
      <pane xSplit="1" ySplit="2" topLeftCell="N3" activePane="bottomRight" state="frozen"/>
      <selection pane="topRight" activeCell="B1" sqref="B1"/>
      <selection pane="bottomLeft" activeCell="A6" sqref="A6"/>
      <selection pane="bottomRight" activeCell="R9" sqref="R9:AC9"/>
    </sheetView>
  </sheetViews>
  <sheetFormatPr defaultRowHeight="14.4" x14ac:dyDescent="0.3"/>
  <cols>
    <col min="1" max="1" width="23" customWidth="1"/>
    <col min="2" max="2" width="9.21875" bestFit="1" customWidth="1"/>
    <col min="3" max="3" width="9" bestFit="1" customWidth="1"/>
    <col min="7" max="7" width="9.109375" customWidth="1"/>
  </cols>
  <sheetData>
    <row r="1" spans="1:29" ht="15" x14ac:dyDescent="0.35">
      <c r="A1" s="37" t="s">
        <v>48</v>
      </c>
      <c r="B1" s="33" t="s">
        <v>45</v>
      </c>
      <c r="C1" s="33" t="s">
        <v>59</v>
      </c>
      <c r="D1" s="33" t="s">
        <v>62</v>
      </c>
      <c r="E1" s="33" t="s">
        <v>46</v>
      </c>
      <c r="F1" s="397" t="s">
        <v>60</v>
      </c>
      <c r="G1" s="397" t="s">
        <v>61</v>
      </c>
      <c r="H1" s="397" t="s">
        <v>23</v>
      </c>
      <c r="I1" s="396" t="s">
        <v>203</v>
      </c>
      <c r="J1" s="396"/>
      <c r="K1" s="396"/>
      <c r="L1" s="396" t="s">
        <v>204</v>
      </c>
      <c r="M1" s="396"/>
      <c r="N1" s="396"/>
      <c r="O1" s="396" t="s">
        <v>205</v>
      </c>
      <c r="P1" s="396"/>
      <c r="Q1" s="396"/>
      <c r="R1" s="396" t="s">
        <v>47</v>
      </c>
      <c r="S1" s="396"/>
      <c r="T1" s="396"/>
      <c r="U1" s="396" t="s">
        <v>53</v>
      </c>
      <c r="V1" s="396"/>
      <c r="W1" s="396"/>
      <c r="X1" s="396" t="s">
        <v>38</v>
      </c>
      <c r="Y1" s="396"/>
      <c r="Z1" s="396"/>
      <c r="AA1" s="396" t="s">
        <v>39</v>
      </c>
      <c r="AB1" s="396"/>
      <c r="AC1" s="396"/>
    </row>
    <row r="2" spans="1:29" ht="15" customHeight="1" x14ac:dyDescent="0.3">
      <c r="A2" s="32"/>
      <c r="B2" s="33" t="s">
        <v>58</v>
      </c>
      <c r="C2" s="33" t="s">
        <v>206</v>
      </c>
      <c r="D2" s="33" t="s">
        <v>207</v>
      </c>
      <c r="E2" s="33"/>
      <c r="F2" s="398"/>
      <c r="G2" s="398"/>
      <c r="H2" s="398"/>
      <c r="I2" s="34" t="s">
        <v>202</v>
      </c>
      <c r="J2" s="35" t="s">
        <v>313</v>
      </c>
      <c r="K2" s="35" t="s">
        <v>314</v>
      </c>
      <c r="L2" s="34" t="s">
        <v>208</v>
      </c>
      <c r="M2" s="36" t="s">
        <v>313</v>
      </c>
      <c r="N2" s="36" t="s">
        <v>339</v>
      </c>
      <c r="O2" s="34" t="s">
        <v>208</v>
      </c>
      <c r="P2" s="36" t="str">
        <f>J2</f>
        <v>FY 2022</v>
      </c>
      <c r="Q2" s="36" t="str">
        <f>K2</f>
        <v>FY 2023</v>
      </c>
      <c r="R2" s="34" t="s">
        <v>208</v>
      </c>
      <c r="S2" s="36" t="str">
        <f>M2</f>
        <v>FY 2022</v>
      </c>
      <c r="T2" s="36" t="str">
        <f>N2</f>
        <v>FY2023</v>
      </c>
      <c r="U2" s="34" t="s">
        <v>202</v>
      </c>
      <c r="V2" s="36" t="str">
        <f>S2</f>
        <v>FY 2022</v>
      </c>
      <c r="W2" s="36" t="str">
        <f>T2</f>
        <v>FY2023</v>
      </c>
      <c r="X2" s="34" t="s">
        <v>208</v>
      </c>
      <c r="Y2" s="36" t="str">
        <f>V2</f>
        <v>FY 2022</v>
      </c>
      <c r="Z2" s="36" t="str">
        <f>W2</f>
        <v>FY2023</v>
      </c>
      <c r="AA2" s="34" t="s">
        <v>208</v>
      </c>
      <c r="AB2" s="36" t="str">
        <f>Y2</f>
        <v>FY 2022</v>
      </c>
      <c r="AC2" s="36" t="str">
        <f>Z2</f>
        <v>FY2023</v>
      </c>
    </row>
    <row r="3" spans="1:29" x14ac:dyDescent="0.3">
      <c r="A3" s="17" t="s">
        <v>192</v>
      </c>
      <c r="B3" s="100">
        <v>113.6</v>
      </c>
      <c r="C3" s="100">
        <v>8.39</v>
      </c>
      <c r="D3" s="12">
        <f t="shared" ref="D3:D12" si="0">IF(ISERROR(B3*C3),"-   ",(B3*C3))</f>
        <v>953.10400000000004</v>
      </c>
      <c r="E3" s="228">
        <v>75.438000000000002</v>
      </c>
      <c r="F3" s="228">
        <v>0</v>
      </c>
      <c r="G3" s="228">
        <v>1.8649999999999998</v>
      </c>
      <c r="H3" s="12">
        <f>D3+E3+F3-G3</f>
        <v>1026.6770000000001</v>
      </c>
      <c r="I3" s="100">
        <f>(14074.17+(24379.24-19026.91))/10</f>
        <v>1942.65</v>
      </c>
      <c r="J3" s="20">
        <f>'Comps - Consensus'!C10</f>
        <v>2265.4499999999998</v>
      </c>
      <c r="K3" s="20">
        <f>'Comps - Consensus'!D10</f>
        <v>2704</v>
      </c>
      <c r="L3" s="100">
        <f>(1130.41+(2187.01-1777.53))/10</f>
        <v>153.98900000000003</v>
      </c>
      <c r="M3" s="20">
        <f>'Comps - Consensus'!C18</f>
        <v>208.15</v>
      </c>
      <c r="N3" s="20">
        <f>'Comps - Consensus'!D18</f>
        <v>232.9</v>
      </c>
      <c r="O3" s="100">
        <f>(411+(174.54-186.46)+0.32)/10</f>
        <v>39.94</v>
      </c>
      <c r="P3" s="20">
        <f>'Comps - Consensus'!C26</f>
        <v>93</v>
      </c>
      <c r="Q3" s="20">
        <f>'Comps - Consensus'!D26</f>
        <v>127.1</v>
      </c>
      <c r="R3" s="13">
        <f t="shared" ref="R3:R12" si="1">IF(ISERROR($D3/I3),"-   ",($D3/I3))</f>
        <v>0.49062054410212852</v>
      </c>
      <c r="S3" s="13">
        <f t="shared" ref="S3:S12" si="2">IF(ISERROR($D3/J3),"-   ",($D3/J3))</f>
        <v>0.42071288265024614</v>
      </c>
      <c r="T3" s="13">
        <f t="shared" ref="T3:T12" si="3">IF(ISERROR($D3/K3),"-   ",($D3/K3))</f>
        <v>0.35247928994082844</v>
      </c>
      <c r="U3" s="13">
        <f t="shared" ref="U3:U12" si="4">IF(ISERROR($D3/O3),"-   ",($D3/O3))</f>
        <v>23.86339509263896</v>
      </c>
      <c r="V3" s="13">
        <f t="shared" ref="V3:V12" si="5">IF(ISERROR($D3/P3),"-   ",($D3/P3))</f>
        <v>10.248430107526882</v>
      </c>
      <c r="W3" s="13">
        <f t="shared" ref="W3:W12" si="6">IF(ISERROR($D3/Q3),"-   ",($D3/Q3))</f>
        <v>7.4988512981904023</v>
      </c>
      <c r="X3" s="13">
        <f>IFERROR($H3/I3, "NA")</f>
        <v>0.52849303786065427</v>
      </c>
      <c r="Y3" s="13">
        <f t="shared" ref="Y3:Z12" si="7">IFERROR($H3/J3, "NA")</f>
        <v>0.45318899114966132</v>
      </c>
      <c r="Z3" s="13">
        <f t="shared" si="7"/>
        <v>0.37968823964497045</v>
      </c>
      <c r="AA3" s="13">
        <f t="shared" ref="AA3:AA12" si="8">IF(ISERROR($H3/L3),"-   ",($H3/L3))</f>
        <v>6.6672099955191602</v>
      </c>
      <c r="AB3" s="13">
        <f t="shared" ref="AB3:AB12" si="9">IF(ISERROR($H3/M3),"-   ",($H3/M3))</f>
        <v>4.9323901032908966</v>
      </c>
      <c r="AC3" s="13">
        <f t="shared" ref="AC3:AC12" si="10">IF(ISERROR($H3/N3),"-   ",($H3/N3))</f>
        <v>4.4082310004293692</v>
      </c>
    </row>
    <row r="4" spans="1:29" x14ac:dyDescent="0.3">
      <c r="A4" s="17" t="s">
        <v>189</v>
      </c>
      <c r="B4" s="100">
        <v>518.15</v>
      </c>
      <c r="C4" s="100">
        <v>5.83</v>
      </c>
      <c r="D4" s="12">
        <f t="shared" si="0"/>
        <v>3020.8145</v>
      </c>
      <c r="E4" s="228">
        <v>31.427</v>
      </c>
      <c r="F4" s="228">
        <v>0</v>
      </c>
      <c r="G4" s="228">
        <v>22.443999999999999</v>
      </c>
      <c r="H4" s="12">
        <f t="shared" ref="H4:H12" si="11">D4+E4+F4-G4</f>
        <v>3029.7975000000001</v>
      </c>
      <c r="I4" s="100">
        <f>(5305+5121+5664+5752)/10</f>
        <v>2184.1999999999998</v>
      </c>
      <c r="J4" s="20">
        <f>'Comps - Consensus'!G10</f>
        <v>2241.3000000000002</v>
      </c>
      <c r="K4" s="20">
        <f>'Comps - Consensus'!H10</f>
        <v>2534.9</v>
      </c>
      <c r="L4" s="100">
        <v>200.8</v>
      </c>
      <c r="M4" s="20">
        <f>'Comps - Consensus'!G18</f>
        <v>227.5</v>
      </c>
      <c r="N4" s="20">
        <f>'Comps - Consensus'!H18</f>
        <v>262.39999999999998</v>
      </c>
      <c r="O4" s="100">
        <f>(96+361+294+269)/10</f>
        <v>102</v>
      </c>
      <c r="P4" s="20">
        <f>'Comps - Consensus'!G26</f>
        <v>138.9</v>
      </c>
      <c r="Q4" s="20">
        <f>'Comps - Consensus'!H26</f>
        <v>174.2</v>
      </c>
      <c r="R4" s="13">
        <f t="shared" si="1"/>
        <v>1.383030171229741</v>
      </c>
      <c r="S4" s="13">
        <f t="shared" si="2"/>
        <v>1.3477956989247311</v>
      </c>
      <c r="T4" s="13">
        <f t="shared" si="3"/>
        <v>1.1916898102489248</v>
      </c>
      <c r="U4" s="13">
        <f t="shared" si="4"/>
        <v>29.615828431372549</v>
      </c>
      <c r="V4" s="13">
        <f t="shared" si="5"/>
        <v>21.748124550035996</v>
      </c>
      <c r="W4" s="13">
        <f t="shared" si="6"/>
        <v>17.341070608495983</v>
      </c>
      <c r="X4" s="13">
        <f>IFERROR($H4/I4, "NA")</f>
        <v>1.3871428898452525</v>
      </c>
      <c r="Y4" s="13">
        <f t="shared" si="7"/>
        <v>1.3518036407442109</v>
      </c>
      <c r="Z4" s="13">
        <f t="shared" si="7"/>
        <v>1.195233539784607</v>
      </c>
      <c r="AA4" s="13">
        <f t="shared" si="8"/>
        <v>15.08863296812749</v>
      </c>
      <c r="AB4" s="13">
        <f t="shared" si="9"/>
        <v>13.31779120879121</v>
      </c>
      <c r="AC4" s="13">
        <f t="shared" si="10"/>
        <v>11.546484375000002</v>
      </c>
    </row>
    <row r="5" spans="1:29" x14ac:dyDescent="0.3">
      <c r="A5" s="17" t="s">
        <v>190</v>
      </c>
      <c r="B5" s="100">
        <v>371.5</v>
      </c>
      <c r="C5" s="100">
        <v>4.63</v>
      </c>
      <c r="D5" s="12">
        <f t="shared" si="0"/>
        <v>1720.0450000000001</v>
      </c>
      <c r="E5" s="228">
        <v>28.219000000000001</v>
      </c>
      <c r="F5" s="228">
        <v>4.8799999999999996E-2</v>
      </c>
      <c r="G5" s="228">
        <v>2.355</v>
      </c>
      <c r="H5" s="12">
        <f t="shared" si="11"/>
        <v>1745.9578000000001</v>
      </c>
      <c r="I5" s="100">
        <f>(19853.85+(24731.13-18537.51))/10</f>
        <v>2604.7470000000003</v>
      </c>
      <c r="J5" s="20" t="str">
        <f>'Comps - Consensus'!K10</f>
        <v>NA</v>
      </c>
      <c r="K5" s="20" t="str">
        <f>'Comps - Consensus'!L10</f>
        <v>NA</v>
      </c>
      <c r="L5" s="100">
        <f>(1680.8+(2665.4-2211.53))/10</f>
        <v>213.46700000000001</v>
      </c>
      <c r="M5" s="20" t="str">
        <f>'Comps - Consensus'!K18</f>
        <v>NA</v>
      </c>
      <c r="N5" s="20" t="str">
        <f>'Comps - Consensus'!L18</f>
        <v>NA</v>
      </c>
      <c r="O5" s="100">
        <f>(838.81+(1490.5-1248.22))/10</f>
        <v>108.10899999999999</v>
      </c>
      <c r="P5" s="20" t="str">
        <f>'Comps - Consensus'!K26</f>
        <v>NA</v>
      </c>
      <c r="Q5" s="20" t="str">
        <f>'Comps - Consensus'!L26</f>
        <v>NA</v>
      </c>
      <c r="R5" s="13">
        <f t="shared" si="1"/>
        <v>0.66035012229594658</v>
      </c>
      <c r="S5" s="13" t="str">
        <f t="shared" si="2"/>
        <v xml:space="preserve">-   </v>
      </c>
      <c r="T5" s="13" t="str">
        <f t="shared" si="3"/>
        <v xml:space="preserve">-   </v>
      </c>
      <c r="U5" s="13">
        <f t="shared" si="4"/>
        <v>15.910284990148833</v>
      </c>
      <c r="V5" s="13" t="str">
        <f t="shared" si="5"/>
        <v xml:space="preserve">-   </v>
      </c>
      <c r="W5" s="13" t="str">
        <f t="shared" si="6"/>
        <v xml:space="preserve">-   </v>
      </c>
      <c r="X5" s="13">
        <f t="shared" ref="X5:X12" si="12">IFERROR($H5/I5, "NA")</f>
        <v>0.67029842053758004</v>
      </c>
      <c r="Y5" s="13" t="str">
        <f t="shared" si="7"/>
        <v>NA</v>
      </c>
      <c r="Z5" s="13" t="str">
        <f t="shared" si="7"/>
        <v>NA</v>
      </c>
      <c r="AA5" s="13">
        <f t="shared" si="8"/>
        <v>8.1790524999180203</v>
      </c>
      <c r="AB5" s="13" t="str">
        <f t="shared" si="9"/>
        <v xml:space="preserve">-   </v>
      </c>
      <c r="AC5" s="13" t="str">
        <f t="shared" si="10"/>
        <v xml:space="preserve">-   </v>
      </c>
    </row>
    <row r="6" spans="1:29" x14ac:dyDescent="0.3">
      <c r="A6" s="17" t="s">
        <v>194</v>
      </c>
      <c r="B6" s="100">
        <v>368.15</v>
      </c>
      <c r="C6" s="100">
        <v>0.4</v>
      </c>
      <c r="D6" s="12">
        <f t="shared" si="0"/>
        <v>147.26</v>
      </c>
      <c r="E6" s="228">
        <v>19.045999999999999</v>
      </c>
      <c r="F6" s="228">
        <v>0</v>
      </c>
      <c r="G6" s="228">
        <v>0.09</v>
      </c>
      <c r="H6" s="12">
        <f t="shared" si="11"/>
        <v>166.21599999999998</v>
      </c>
      <c r="I6" s="100">
        <f>((13563+(36830-15693))/10)/10</f>
        <v>347</v>
      </c>
      <c r="J6" s="20" t="str">
        <f>'Comps - Consensus'!O10</f>
        <v>NA</v>
      </c>
      <c r="K6" s="20" t="str">
        <f>'Comps - Consensus'!P10</f>
        <v>NA</v>
      </c>
      <c r="L6" s="100">
        <f>((786+(2022-1070))/10)/10</f>
        <v>17.380000000000003</v>
      </c>
      <c r="M6" s="20" t="str">
        <f>'Comps - Consensus'!O18</f>
        <v>NA</v>
      </c>
      <c r="N6" s="20" t="str">
        <f>'Comps - Consensus'!P18</f>
        <v>NA</v>
      </c>
      <c r="O6" s="100">
        <f>((87+(244-136))/10)/10</f>
        <v>1.95</v>
      </c>
      <c r="P6" s="20" t="str">
        <f>'Comps - Consensus'!O26</f>
        <v>NA</v>
      </c>
      <c r="Q6" s="20" t="str">
        <f>'Comps - Consensus'!P26</f>
        <v>NA</v>
      </c>
      <c r="R6" s="13">
        <f t="shared" si="1"/>
        <v>0.42438040345821321</v>
      </c>
      <c r="S6" s="13" t="str">
        <f t="shared" si="2"/>
        <v xml:space="preserve">-   </v>
      </c>
      <c r="T6" s="13" t="str">
        <f t="shared" si="3"/>
        <v xml:space="preserve">-   </v>
      </c>
      <c r="U6" s="13">
        <f t="shared" si="4"/>
        <v>75.517948717948713</v>
      </c>
      <c r="V6" s="13" t="str">
        <f t="shared" si="5"/>
        <v xml:space="preserve">-   </v>
      </c>
      <c r="W6" s="13" t="str">
        <f t="shared" si="6"/>
        <v xml:space="preserve">-   </v>
      </c>
      <c r="X6" s="13">
        <f t="shared" si="12"/>
        <v>0.47900864553314115</v>
      </c>
      <c r="Y6" s="13" t="str">
        <f t="shared" si="7"/>
        <v>NA</v>
      </c>
      <c r="Z6" s="13" t="str">
        <f t="shared" si="7"/>
        <v>NA</v>
      </c>
      <c r="AA6" s="13">
        <f t="shared" si="8"/>
        <v>9.5636363636363608</v>
      </c>
      <c r="AB6" s="13" t="str">
        <f t="shared" si="9"/>
        <v xml:space="preserve">-   </v>
      </c>
      <c r="AC6" s="13" t="str">
        <f t="shared" si="10"/>
        <v xml:space="preserve">-   </v>
      </c>
    </row>
    <row r="7" spans="1:29" x14ac:dyDescent="0.3">
      <c r="A7" s="17" t="s">
        <v>191</v>
      </c>
      <c r="B7" s="100">
        <v>75.75</v>
      </c>
      <c r="C7" s="100">
        <v>2.2000000000000002</v>
      </c>
      <c r="D7" s="12">
        <f t="shared" si="0"/>
        <v>166.65</v>
      </c>
      <c r="E7" s="228">
        <v>10.553000000000001</v>
      </c>
      <c r="F7" s="228">
        <v>0</v>
      </c>
      <c r="G7" s="228">
        <v>4.7E-2</v>
      </c>
      <c r="H7" s="12">
        <f t="shared" si="11"/>
        <v>177.15600000000001</v>
      </c>
      <c r="I7" s="100">
        <f>((8980.54+(24895.14-11728.82))/10)/10</f>
        <v>221.46860000000001</v>
      </c>
      <c r="J7" s="20" t="str">
        <f>'Comps - Consensus'!S10</f>
        <v>NA</v>
      </c>
      <c r="K7" s="20" t="str">
        <f>'Comps - Consensus'!T10</f>
        <v>NA</v>
      </c>
      <c r="L7" s="100">
        <f>((-688.26+(1462.11-878.42))/10)/10</f>
        <v>-1.0457000000000005</v>
      </c>
      <c r="M7" s="20" t="str">
        <f>'Comps - Consensus'!S18</f>
        <v>NA</v>
      </c>
      <c r="N7" s="20" t="str">
        <f>'Comps - Consensus'!T18</f>
        <v>NA</v>
      </c>
      <c r="O7" s="100">
        <f>((-863+(410.01-321.61))/10)/10</f>
        <v>-7.7460000000000004</v>
      </c>
      <c r="P7" s="20" t="str">
        <f>'Comps - Consensus'!S26</f>
        <v>NA</v>
      </c>
      <c r="Q7" s="20" t="str">
        <f>'Comps - Consensus'!T26</f>
        <v>NA</v>
      </c>
      <c r="R7" s="13">
        <f t="shared" si="1"/>
        <v>0.752476874825596</v>
      </c>
      <c r="S7" s="13" t="str">
        <f t="shared" si="2"/>
        <v xml:space="preserve">-   </v>
      </c>
      <c r="T7" s="13" t="str">
        <f t="shared" si="3"/>
        <v xml:space="preserve">-   </v>
      </c>
      <c r="U7" s="13">
        <f t="shared" si="4"/>
        <v>-21.514329976762198</v>
      </c>
      <c r="V7" s="13" t="str">
        <f t="shared" si="5"/>
        <v xml:space="preserve">-   </v>
      </c>
      <c r="W7" s="13" t="str">
        <f t="shared" si="6"/>
        <v xml:space="preserve">-   </v>
      </c>
      <c r="X7" s="13">
        <f t="shared" si="12"/>
        <v>0.7999147508947092</v>
      </c>
      <c r="Y7" s="13" t="str">
        <f t="shared" si="7"/>
        <v>NA</v>
      </c>
      <c r="Z7" s="13" t="str">
        <f t="shared" si="7"/>
        <v>NA</v>
      </c>
      <c r="AA7" s="13">
        <f t="shared" si="8"/>
        <v>-169.41378980587157</v>
      </c>
      <c r="AB7" s="13" t="str">
        <f t="shared" si="9"/>
        <v xml:space="preserve">-   </v>
      </c>
      <c r="AC7" s="13" t="str">
        <f t="shared" si="10"/>
        <v xml:space="preserve">-   </v>
      </c>
    </row>
    <row r="8" spans="1:29" x14ac:dyDescent="0.3">
      <c r="A8" s="17" t="s">
        <v>193</v>
      </c>
      <c r="B8" s="100">
        <v>1059.55</v>
      </c>
      <c r="C8" s="100">
        <v>21.5</v>
      </c>
      <c r="D8" s="12">
        <f t="shared" si="0"/>
        <v>22780.325000000001</v>
      </c>
      <c r="E8" s="228">
        <v>209.55199999999999</v>
      </c>
      <c r="F8" s="228">
        <v>0</v>
      </c>
      <c r="G8" s="228">
        <v>3.9240000000000004</v>
      </c>
      <c r="H8" s="12">
        <f t="shared" si="11"/>
        <v>22985.953000000001</v>
      </c>
      <c r="I8" s="100">
        <f>(47651.28+(55697.43-40008.7))/10</f>
        <v>6334.0010000000002</v>
      </c>
      <c r="J8" s="20">
        <f>'Comps - Consensus'!W10</f>
        <v>6705.7</v>
      </c>
      <c r="K8" s="20">
        <f>'Comps - Consensus'!X10</f>
        <v>7777.9</v>
      </c>
      <c r="L8" s="100">
        <f>(5551.48+(7844.91-5938.02))/10</f>
        <v>745.83699999999988</v>
      </c>
      <c r="M8" s="20">
        <f>'Comps - Consensus'!W18</f>
        <v>810.7</v>
      </c>
      <c r="N8" s="20">
        <f>'Comps - Consensus'!X18</f>
        <v>944.1</v>
      </c>
      <c r="O8" s="100">
        <f>((18826.89+(24635.06-18921.48))/10)/10</f>
        <v>245.40469999999999</v>
      </c>
      <c r="P8" s="20">
        <f>'Comps - Consensus'!W26</f>
        <v>275</v>
      </c>
      <c r="Q8" s="20">
        <f>'Comps - Consensus'!X26</f>
        <v>356.4</v>
      </c>
      <c r="R8" s="13">
        <f t="shared" si="1"/>
        <v>3.5965142727321955</v>
      </c>
      <c r="S8" s="13">
        <f t="shared" si="2"/>
        <v>3.3971583876403657</v>
      </c>
      <c r="T8" s="13">
        <f t="shared" si="3"/>
        <v>2.9288529037400841</v>
      </c>
      <c r="U8" s="13">
        <f t="shared" si="4"/>
        <v>92.827582356817132</v>
      </c>
      <c r="V8" s="13">
        <f t="shared" si="5"/>
        <v>82.837545454545463</v>
      </c>
      <c r="W8" s="13">
        <f t="shared" si="6"/>
        <v>63.917859147025823</v>
      </c>
      <c r="X8" s="13">
        <f t="shared" si="12"/>
        <v>3.6289784292740088</v>
      </c>
      <c r="Y8" s="13">
        <f t="shared" si="7"/>
        <v>3.4278230460652881</v>
      </c>
      <c r="Z8" s="13">
        <f t="shared" si="7"/>
        <v>2.9552903740084089</v>
      </c>
      <c r="AA8" s="13">
        <f t="shared" si="8"/>
        <v>30.81900334791651</v>
      </c>
      <c r="AB8" s="13">
        <f t="shared" si="9"/>
        <v>28.35321697298631</v>
      </c>
      <c r="AC8" s="13">
        <f t="shared" si="10"/>
        <v>24.346947357271475</v>
      </c>
    </row>
    <row r="9" spans="1:29" x14ac:dyDescent="0.3">
      <c r="A9" s="17" t="s">
        <v>210</v>
      </c>
      <c r="B9" s="100">
        <v>3530</v>
      </c>
      <c r="C9" s="100">
        <v>24.08</v>
      </c>
      <c r="D9" s="12">
        <f t="shared" si="0"/>
        <v>85002.4</v>
      </c>
      <c r="E9" s="228">
        <v>4424.7800000000007</v>
      </c>
      <c r="F9" s="228">
        <v>3.6340000000000003</v>
      </c>
      <c r="G9" s="228">
        <v>211.34</v>
      </c>
      <c r="H9" s="12">
        <f>D9+E9+F9-G9</f>
        <v>89219.474000000002</v>
      </c>
      <c r="I9" s="100">
        <f>((10035.17+(12378.83-9426.19))*10)/10</f>
        <v>12987.81</v>
      </c>
      <c r="J9" s="20">
        <f>'Comps - Consensus'!AA10</f>
        <v>13975.5</v>
      </c>
      <c r="K9" s="20">
        <f>'Comps - Consensus'!AB10</f>
        <v>15406</v>
      </c>
      <c r="L9" s="100">
        <f>((1823.51+(2644.02-2099.68))*10)/10</f>
        <v>2367.8500000000004</v>
      </c>
      <c r="M9" s="20">
        <f>'Comps - Consensus'!AA18</f>
        <v>2305.1999999999998</v>
      </c>
      <c r="N9" s="20">
        <f>'Comps - Consensus'!AB18</f>
        <v>2756.6</v>
      </c>
      <c r="O9" s="100">
        <f>((1189.76+(1760.03-1406.57))*10)/10</f>
        <v>1543.22</v>
      </c>
      <c r="P9" s="20">
        <f>'Comps - Consensus'!AA26</f>
        <v>1648.65</v>
      </c>
      <c r="Q9" s="20">
        <f>'Comps - Consensus'!AB26</f>
        <v>1978.45</v>
      </c>
      <c r="R9" s="13">
        <f t="shared" si="1"/>
        <v>6.5447831466582898</v>
      </c>
      <c r="S9" s="13">
        <f t="shared" si="2"/>
        <v>6.0822439268720254</v>
      </c>
      <c r="T9" s="13">
        <f t="shared" si="3"/>
        <v>5.51748669349604</v>
      </c>
      <c r="U9" s="13">
        <f t="shared" si="4"/>
        <v>55.081193867368228</v>
      </c>
      <c r="V9" s="13">
        <f t="shared" si="5"/>
        <v>51.558790525581529</v>
      </c>
      <c r="W9" s="13">
        <f t="shared" si="6"/>
        <v>42.964138593343272</v>
      </c>
      <c r="X9" s="13">
        <f t="shared" si="12"/>
        <v>6.8694779181401637</v>
      </c>
      <c r="Y9" s="13">
        <f t="shared" si="7"/>
        <v>6.3839915566527141</v>
      </c>
      <c r="Z9" s="13">
        <f t="shared" si="7"/>
        <v>5.7912160197325715</v>
      </c>
      <c r="AA9" s="13">
        <f t="shared" si="8"/>
        <v>37.679529531009138</v>
      </c>
      <c r="AB9" s="13">
        <f t="shared" si="9"/>
        <v>38.703571924344963</v>
      </c>
      <c r="AC9" s="13">
        <f t="shared" si="10"/>
        <v>32.36576724951027</v>
      </c>
    </row>
    <row r="10" spans="1:29" x14ac:dyDescent="0.3">
      <c r="A10" s="17" t="s">
        <v>215</v>
      </c>
      <c r="B10" s="18">
        <v>284.35000000000002</v>
      </c>
      <c r="C10" s="18">
        <v>5</v>
      </c>
      <c r="D10" s="12">
        <f t="shared" si="0"/>
        <v>1421.75</v>
      </c>
      <c r="E10" s="228">
        <v>226.25</v>
      </c>
      <c r="F10" s="228">
        <v>0</v>
      </c>
      <c r="G10" s="228">
        <v>88.81</v>
      </c>
      <c r="H10" s="12">
        <f t="shared" si="11"/>
        <v>1559.19</v>
      </c>
      <c r="I10" s="100">
        <f>(2575.7+(5240.6-2562))/10</f>
        <v>525.43000000000006</v>
      </c>
      <c r="J10" s="20">
        <f>'Comps - Consensus'!AE10</f>
        <v>697.74</v>
      </c>
      <c r="K10" s="20">
        <f>'Comps - Consensus'!AF10</f>
        <v>772.9</v>
      </c>
      <c r="L10" s="100">
        <f>(61.1+(625.6-364.3))/10</f>
        <v>32.24</v>
      </c>
      <c r="M10" s="20">
        <f>'Comps - Consensus'!AE18</f>
        <v>91.72</v>
      </c>
      <c r="N10" s="20">
        <f>'Comps - Consensus'!AF18</f>
        <v>90</v>
      </c>
      <c r="O10" s="100">
        <f>(-486+(2870-1832))/10</f>
        <v>55.2</v>
      </c>
      <c r="P10" s="20">
        <f>'Comps - Consensus'!AE26</f>
        <v>55.45</v>
      </c>
      <c r="Q10" s="20">
        <f>'Comps - Consensus'!AF26</f>
        <v>58.4</v>
      </c>
      <c r="R10" s="13">
        <f t="shared" si="1"/>
        <v>2.7058789943474864</v>
      </c>
      <c r="S10" s="13">
        <f t="shared" si="2"/>
        <v>2.0376501275546763</v>
      </c>
      <c r="T10" s="13">
        <f t="shared" si="3"/>
        <v>1.8395005822227972</v>
      </c>
      <c r="U10" s="13">
        <f t="shared" si="4"/>
        <v>25.756340579710145</v>
      </c>
      <c r="V10" s="13">
        <f t="shared" si="5"/>
        <v>25.640216411181243</v>
      </c>
      <c r="W10" s="13">
        <f t="shared" si="6"/>
        <v>24.345034246575342</v>
      </c>
      <c r="X10" s="13">
        <f t="shared" si="12"/>
        <v>2.9674552271472887</v>
      </c>
      <c r="Y10" s="13">
        <f t="shared" si="7"/>
        <v>2.2346289448791814</v>
      </c>
      <c r="Z10" s="13">
        <f t="shared" si="7"/>
        <v>2.0173243627894943</v>
      </c>
      <c r="AA10" s="13">
        <f t="shared" si="8"/>
        <v>48.361972704714638</v>
      </c>
      <c r="AB10" s="13">
        <f t="shared" si="9"/>
        <v>16.999454862625381</v>
      </c>
      <c r="AC10" s="13">
        <f t="shared" si="10"/>
        <v>17.324333333333335</v>
      </c>
    </row>
    <row r="11" spans="1:29" x14ac:dyDescent="0.3">
      <c r="A11" s="17" t="s">
        <v>49</v>
      </c>
      <c r="B11" s="18">
        <v>0</v>
      </c>
      <c r="C11" s="18">
        <v>0</v>
      </c>
      <c r="D11" s="12">
        <f t="shared" si="0"/>
        <v>0</v>
      </c>
      <c r="E11" s="18">
        <v>0</v>
      </c>
      <c r="F11" s="18">
        <v>0</v>
      </c>
      <c r="G11" s="18">
        <v>0</v>
      </c>
      <c r="H11" s="12">
        <f t="shared" si="11"/>
        <v>0</v>
      </c>
      <c r="I11" s="18">
        <v>0</v>
      </c>
      <c r="J11" s="20" t="str">
        <f>'Comps - Consensus'!AI10</f>
        <v>NA</v>
      </c>
      <c r="K11" s="20" t="str">
        <f>'Comps - Consensus'!AJ10</f>
        <v>NA</v>
      </c>
      <c r="L11" s="18">
        <v>0</v>
      </c>
      <c r="M11" s="20" t="str">
        <f>'Comps - Consensus'!AI18</f>
        <v>NA</v>
      </c>
      <c r="N11" s="20" t="str">
        <f>'Comps - Consensus'!AJ18</f>
        <v>NA</v>
      </c>
      <c r="O11" s="18"/>
      <c r="P11" s="20" t="str">
        <f>'Comps - Consensus'!AI26</f>
        <v>NA</v>
      </c>
      <c r="Q11" s="20" t="str">
        <f>'Comps - Consensus'!AJ26</f>
        <v>NA</v>
      </c>
      <c r="R11" s="13" t="str">
        <f t="shared" si="1"/>
        <v xml:space="preserve">-   </v>
      </c>
      <c r="S11" s="13" t="str">
        <f t="shared" si="2"/>
        <v xml:space="preserve">-   </v>
      </c>
      <c r="T11" s="13" t="str">
        <f t="shared" si="3"/>
        <v xml:space="preserve">-   </v>
      </c>
      <c r="U11" s="13" t="str">
        <f t="shared" si="4"/>
        <v xml:space="preserve">-   </v>
      </c>
      <c r="V11" s="13" t="str">
        <f t="shared" si="5"/>
        <v xml:space="preserve">-   </v>
      </c>
      <c r="W11" s="13" t="str">
        <f t="shared" si="6"/>
        <v xml:space="preserve">-   </v>
      </c>
      <c r="X11" s="13" t="str">
        <f t="shared" si="12"/>
        <v>NA</v>
      </c>
      <c r="Y11" s="13" t="str">
        <f t="shared" si="7"/>
        <v>NA</v>
      </c>
      <c r="Z11" s="13" t="str">
        <f t="shared" si="7"/>
        <v>NA</v>
      </c>
      <c r="AA11" s="13" t="str">
        <f t="shared" si="8"/>
        <v xml:space="preserve">-   </v>
      </c>
      <c r="AB11" s="13" t="str">
        <f t="shared" si="9"/>
        <v xml:space="preserve">-   </v>
      </c>
      <c r="AC11" s="13" t="str">
        <f t="shared" si="10"/>
        <v xml:space="preserve">-   </v>
      </c>
    </row>
    <row r="12" spans="1:29" x14ac:dyDescent="0.3">
      <c r="A12" s="17" t="s">
        <v>50</v>
      </c>
      <c r="B12" s="19">
        <v>0</v>
      </c>
      <c r="C12" s="19">
        <v>0</v>
      </c>
      <c r="D12" s="14">
        <f t="shared" si="0"/>
        <v>0</v>
      </c>
      <c r="E12" s="18">
        <v>0</v>
      </c>
      <c r="F12" s="18">
        <v>0</v>
      </c>
      <c r="G12" s="18">
        <v>0</v>
      </c>
      <c r="H12" s="15">
        <f t="shared" si="11"/>
        <v>0</v>
      </c>
      <c r="I12" s="21">
        <v>0</v>
      </c>
      <c r="J12" s="22" t="str">
        <f>'Comps - Consensus'!AM10</f>
        <v>NA</v>
      </c>
      <c r="K12" s="22" t="str">
        <f>'Comps - Consensus'!AN10</f>
        <v>NA</v>
      </c>
      <c r="L12" s="21">
        <v>0</v>
      </c>
      <c r="M12" s="22" t="str">
        <f>'Comps - Consensus'!AM18</f>
        <v>NA</v>
      </c>
      <c r="N12" s="22" t="str">
        <f>'Comps - Consensus'!AN18</f>
        <v>NA</v>
      </c>
      <c r="O12" s="21"/>
      <c r="P12" s="22" t="str">
        <f>'Comps - Consensus'!AM26</f>
        <v>NA</v>
      </c>
      <c r="Q12" s="22" t="str">
        <f>'Comps - Consensus'!AN26</f>
        <v>NA</v>
      </c>
      <c r="R12" s="16" t="str">
        <f t="shared" si="1"/>
        <v xml:space="preserve">-   </v>
      </c>
      <c r="S12" s="16" t="str">
        <f t="shared" si="2"/>
        <v xml:space="preserve">-   </v>
      </c>
      <c r="T12" s="16" t="str">
        <f t="shared" si="3"/>
        <v xml:space="preserve">-   </v>
      </c>
      <c r="U12" s="16" t="str">
        <f t="shared" si="4"/>
        <v xml:space="preserve">-   </v>
      </c>
      <c r="V12" s="16" t="str">
        <f t="shared" si="5"/>
        <v xml:space="preserve">-   </v>
      </c>
      <c r="W12" s="16" t="str">
        <f t="shared" si="6"/>
        <v xml:space="preserve">-   </v>
      </c>
      <c r="X12" s="13" t="str">
        <f t="shared" si="12"/>
        <v>NA</v>
      </c>
      <c r="Y12" s="13" t="str">
        <f t="shared" si="7"/>
        <v>NA</v>
      </c>
      <c r="Z12" s="13" t="str">
        <f t="shared" si="7"/>
        <v>NA</v>
      </c>
      <c r="AA12" s="16" t="str">
        <f t="shared" si="8"/>
        <v xml:space="preserve">-   </v>
      </c>
      <c r="AB12" s="16" t="str">
        <f t="shared" si="9"/>
        <v xml:space="preserve">-   </v>
      </c>
      <c r="AC12" s="16" t="str">
        <f t="shared" si="10"/>
        <v xml:space="preserve">-   </v>
      </c>
    </row>
    <row r="13" spans="1:29" ht="15" thickBot="1" x14ac:dyDescent="0.35">
      <c r="A13" s="38" t="s">
        <v>31</v>
      </c>
      <c r="B13" s="39"/>
      <c r="C13" s="40"/>
      <c r="D13" s="41"/>
      <c r="E13" s="40"/>
      <c r="F13" s="40"/>
      <c r="G13" s="40"/>
      <c r="H13" s="41"/>
      <c r="I13" s="41"/>
      <c r="J13" s="41"/>
      <c r="K13" s="41"/>
      <c r="L13" s="41"/>
      <c r="M13" s="41"/>
      <c r="N13" s="41"/>
      <c r="O13" s="41"/>
      <c r="P13" s="41"/>
      <c r="Q13" s="41"/>
      <c r="R13" s="42">
        <f>IFERROR(AVERAGE(R3:R12),"NA")</f>
        <v>2.0697543162061995</v>
      </c>
      <c r="S13" s="42">
        <f t="shared" ref="S13:AC13" si="13">IFERROR(AVERAGE(S3:S12),"NA")</f>
        <v>2.657112204728409</v>
      </c>
      <c r="T13" s="42">
        <f t="shared" si="13"/>
        <v>2.3660018559297349</v>
      </c>
      <c r="U13" s="42">
        <f t="shared" si="13"/>
        <v>37.132280507405291</v>
      </c>
      <c r="V13" s="42">
        <f t="shared" si="13"/>
        <v>38.406621409774218</v>
      </c>
      <c r="W13" s="42">
        <f t="shared" si="13"/>
        <v>31.213390778726165</v>
      </c>
      <c r="X13" s="42">
        <f t="shared" si="13"/>
        <v>2.1663461649041</v>
      </c>
      <c r="Y13" s="42">
        <f t="shared" si="13"/>
        <v>2.7702872358982114</v>
      </c>
      <c r="Z13" s="42">
        <f t="shared" si="13"/>
        <v>2.4677505071920107</v>
      </c>
      <c r="AA13" s="42">
        <f t="shared" si="13"/>
        <v>-1.6318440493787802</v>
      </c>
      <c r="AB13" s="42">
        <f t="shared" si="13"/>
        <v>20.461285014407753</v>
      </c>
      <c r="AC13" s="42">
        <f t="shared" si="13"/>
        <v>17.998352663108893</v>
      </c>
    </row>
    <row r="14" spans="1:29" ht="15.6" thickTop="1" thickBot="1" x14ac:dyDescent="0.35">
      <c r="A14" s="43" t="s">
        <v>32</v>
      </c>
      <c r="B14" s="44"/>
      <c r="C14" s="45"/>
      <c r="D14" s="46"/>
      <c r="E14" s="45"/>
      <c r="F14" s="45"/>
      <c r="G14" s="45"/>
      <c r="H14" s="46"/>
      <c r="I14" s="46"/>
      <c r="J14" s="46"/>
      <c r="K14" s="46"/>
      <c r="L14" s="46"/>
      <c r="M14" s="46"/>
      <c r="N14" s="46"/>
      <c r="O14" s="46"/>
      <c r="P14" s="46"/>
      <c r="Q14" s="46"/>
      <c r="R14" s="47">
        <f>IFERROR(MEDIAN(R3:R12), "NA")</f>
        <v>1.0677535230276685</v>
      </c>
      <c r="S14" s="47">
        <f t="shared" ref="S14:AC14" si="14">IFERROR(MEDIAN(S3:S12), "NA")</f>
        <v>2.0376501275546763</v>
      </c>
      <c r="T14" s="47">
        <f t="shared" si="14"/>
        <v>1.8395005822227972</v>
      </c>
      <c r="U14" s="47">
        <f t="shared" si="14"/>
        <v>27.686084505541345</v>
      </c>
      <c r="V14" s="47">
        <f t="shared" si="14"/>
        <v>25.640216411181243</v>
      </c>
      <c r="W14" s="47">
        <f t="shared" si="14"/>
        <v>24.345034246575342</v>
      </c>
      <c r="X14" s="47">
        <f t="shared" si="14"/>
        <v>1.0935288203699809</v>
      </c>
      <c r="Y14" s="47">
        <f t="shared" si="14"/>
        <v>2.2346289448791814</v>
      </c>
      <c r="Z14" s="47">
        <f t="shared" si="14"/>
        <v>2.0173243627894943</v>
      </c>
      <c r="AA14" s="47">
        <f t="shared" si="14"/>
        <v>12.326134665881925</v>
      </c>
      <c r="AB14" s="47">
        <f t="shared" si="14"/>
        <v>16.999454862625381</v>
      </c>
      <c r="AC14" s="47">
        <f t="shared" si="14"/>
        <v>17.324333333333335</v>
      </c>
    </row>
    <row r="15" spans="1:29" ht="15" thickTop="1" x14ac:dyDescent="0.3">
      <c r="A15" s="9"/>
      <c r="B15" s="10"/>
      <c r="C15" s="9"/>
      <c r="D15" s="9"/>
      <c r="E15" s="9"/>
      <c r="F15" s="9"/>
      <c r="G15" s="9"/>
      <c r="H15" s="9"/>
      <c r="I15" s="9"/>
      <c r="J15" s="9"/>
      <c r="K15" s="9"/>
      <c r="L15" s="9"/>
      <c r="M15" s="11"/>
      <c r="N15" s="9"/>
      <c r="O15" s="9"/>
      <c r="P15" s="9"/>
      <c r="Q15" s="9"/>
      <c r="R15" s="9"/>
      <c r="S15" s="9"/>
      <c r="T15" s="9"/>
      <c r="U15" s="9"/>
      <c r="V15" s="9"/>
      <c r="W15" s="9"/>
      <c r="X15" s="9"/>
      <c r="Y15" s="9"/>
      <c r="Z15" s="9"/>
      <c r="AA15" s="9"/>
      <c r="AB15" s="9"/>
      <c r="AC15" s="9"/>
    </row>
    <row r="16" spans="1:29" x14ac:dyDescent="0.3">
      <c r="I16" s="372">
        <v>44256</v>
      </c>
    </row>
    <row r="17" spans="9:9" x14ac:dyDescent="0.3">
      <c r="I17" t="s">
        <v>375</v>
      </c>
    </row>
    <row r="18" spans="9:9" x14ac:dyDescent="0.3">
      <c r="I18" t="s">
        <v>376</v>
      </c>
    </row>
  </sheetData>
  <mergeCells count="10">
    <mergeCell ref="AA1:AC1"/>
    <mergeCell ref="X1:Z1"/>
    <mergeCell ref="R1:T1"/>
    <mergeCell ref="F1:F2"/>
    <mergeCell ref="G1:G2"/>
    <mergeCell ref="H1:H2"/>
    <mergeCell ref="I1:K1"/>
    <mergeCell ref="O1:Q1"/>
    <mergeCell ref="L1:N1"/>
    <mergeCell ref="U1:W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2:AN32"/>
  <sheetViews>
    <sheetView showGridLines="0" zoomScale="85" zoomScaleNormal="85" workbookViewId="0">
      <selection activeCell="N19" sqref="N19"/>
    </sheetView>
  </sheetViews>
  <sheetFormatPr defaultColWidth="9.109375" defaultRowHeight="10.199999999999999" x14ac:dyDescent="0.2"/>
  <cols>
    <col min="1" max="1" width="2.6640625" style="23" customWidth="1"/>
    <col min="2" max="2" width="16.88671875" style="6" customWidth="1"/>
    <col min="3" max="3" width="10.109375" style="6" customWidth="1"/>
    <col min="4" max="4" width="9.33203125" style="6" customWidth="1"/>
    <col min="5" max="5" width="2.6640625" style="6" customWidth="1"/>
    <col min="6" max="6" width="16.88671875" style="6" customWidth="1"/>
    <col min="7" max="8" width="9.33203125" style="6" customWidth="1"/>
    <col min="9" max="9" width="2.6640625" style="6" customWidth="1"/>
    <col min="10" max="10" width="16.88671875" style="6" customWidth="1"/>
    <col min="11" max="12" width="9.33203125" style="6" customWidth="1"/>
    <col min="13" max="13" width="2.6640625" style="6" customWidth="1"/>
    <col min="14" max="14" width="16.88671875" style="6" customWidth="1"/>
    <col min="15" max="16" width="9.33203125" style="6" customWidth="1"/>
    <col min="17" max="17" width="2.6640625" style="6" customWidth="1"/>
    <col min="18" max="18" width="16.88671875" style="6" customWidth="1"/>
    <col min="19" max="19" width="11.5546875" style="6" customWidth="1"/>
    <col min="20" max="20" width="11.77734375" style="6" customWidth="1"/>
    <col min="21" max="21" width="2.6640625" style="6" customWidth="1"/>
    <col min="22" max="22" width="16.88671875" style="6" customWidth="1"/>
    <col min="23" max="24" width="9.33203125" style="6" customWidth="1"/>
    <col min="25" max="25" width="2.6640625" style="6" customWidth="1"/>
    <col min="26" max="26" width="16.88671875" style="6" customWidth="1"/>
    <col min="27" max="27" width="18.44140625" style="6" customWidth="1"/>
    <col min="28" max="28" width="9.33203125" style="6" customWidth="1"/>
    <col min="29" max="29" width="2.6640625" style="6" customWidth="1"/>
    <col min="30" max="30" width="16.88671875" style="6" customWidth="1"/>
    <col min="31" max="32" width="9.33203125" style="6" customWidth="1"/>
    <col min="33" max="33" width="2.6640625" style="6" customWidth="1"/>
    <col min="34" max="34" width="16.88671875" style="6" customWidth="1"/>
    <col min="35" max="36" width="9.33203125" style="6" customWidth="1"/>
    <col min="37" max="37" width="2.6640625" style="6" customWidth="1"/>
    <col min="38" max="38" width="16.88671875" style="6" customWidth="1"/>
    <col min="39" max="40" width="9.33203125" style="6" customWidth="1"/>
    <col min="41" max="41" width="2.6640625" style="6" customWidth="1"/>
    <col min="42" max="16384" width="9.109375" style="6"/>
  </cols>
  <sheetData>
    <row r="2" spans="1:40" x14ac:dyDescent="0.2">
      <c r="B2" s="399" t="s">
        <v>196</v>
      </c>
      <c r="C2" s="399"/>
      <c r="D2" s="399"/>
      <c r="F2" s="399" t="s">
        <v>197</v>
      </c>
      <c r="G2" s="399"/>
      <c r="H2" s="399"/>
      <c r="J2" s="399" t="s">
        <v>198</v>
      </c>
      <c r="K2" s="399"/>
      <c r="L2" s="399"/>
      <c r="N2" s="399" t="s">
        <v>199</v>
      </c>
      <c r="O2" s="399"/>
      <c r="P2" s="399"/>
      <c r="R2" s="399" t="s">
        <v>200</v>
      </c>
      <c r="S2" s="399"/>
      <c r="T2" s="399"/>
      <c r="V2" s="399" t="s">
        <v>201</v>
      </c>
      <c r="W2" s="399"/>
      <c r="X2" s="399"/>
      <c r="Z2" s="399" t="s">
        <v>210</v>
      </c>
      <c r="AA2" s="399"/>
      <c r="AB2" s="399"/>
      <c r="AD2" s="399" t="s">
        <v>215</v>
      </c>
      <c r="AE2" s="399"/>
      <c r="AF2" s="399"/>
      <c r="AH2" s="399" t="s">
        <v>49</v>
      </c>
      <c r="AI2" s="399"/>
      <c r="AJ2" s="399"/>
      <c r="AL2" s="399" t="s">
        <v>50</v>
      </c>
      <c r="AM2" s="399"/>
      <c r="AN2" s="399"/>
    </row>
    <row r="3" spans="1:40" s="23" customFormat="1" x14ac:dyDescent="0.2">
      <c r="B3" s="24"/>
      <c r="C3" s="24"/>
      <c r="D3" s="24"/>
      <c r="F3" s="24"/>
      <c r="G3" s="24"/>
      <c r="H3" s="24"/>
      <c r="J3" s="24"/>
      <c r="K3" s="24"/>
      <c r="L3" s="24"/>
      <c r="N3" s="24"/>
      <c r="O3" s="24"/>
      <c r="P3" s="24"/>
      <c r="R3" s="24"/>
      <c r="S3" s="24"/>
      <c r="T3" s="24"/>
      <c r="V3" s="24"/>
      <c r="W3" s="24"/>
      <c r="X3" s="24"/>
      <c r="Z3" s="24"/>
      <c r="AA3" s="24"/>
      <c r="AB3" s="24"/>
      <c r="AD3" s="24"/>
      <c r="AE3" s="24"/>
      <c r="AF3" s="24"/>
      <c r="AH3" s="24"/>
      <c r="AI3" s="24"/>
      <c r="AJ3" s="24"/>
      <c r="AL3" s="24"/>
      <c r="AM3" s="24"/>
      <c r="AN3" s="24"/>
    </row>
    <row r="4" spans="1:40" x14ac:dyDescent="0.2">
      <c r="A4" s="25"/>
      <c r="B4" s="31" t="s">
        <v>51</v>
      </c>
      <c r="C4" s="30" t="s">
        <v>313</v>
      </c>
      <c r="D4" s="30" t="s">
        <v>314</v>
      </c>
      <c r="F4" s="31" t="s">
        <v>51</v>
      </c>
      <c r="G4" s="30" t="s">
        <v>313</v>
      </c>
      <c r="H4" s="30" t="s">
        <v>314</v>
      </c>
      <c r="J4" s="31" t="s">
        <v>51</v>
      </c>
      <c r="K4" s="30" t="s">
        <v>313</v>
      </c>
      <c r="L4" s="30" t="s">
        <v>314</v>
      </c>
      <c r="N4" s="31" t="s">
        <v>51</v>
      </c>
      <c r="O4" s="30" t="s">
        <v>313</v>
      </c>
      <c r="P4" s="30" t="s">
        <v>314</v>
      </c>
      <c r="R4" s="31" t="s">
        <v>51</v>
      </c>
      <c r="S4" s="30" t="s">
        <v>313</v>
      </c>
      <c r="T4" s="30" t="s">
        <v>314</v>
      </c>
      <c r="V4" s="31" t="s">
        <v>51</v>
      </c>
      <c r="W4" s="30" t="s">
        <v>313</v>
      </c>
      <c r="X4" s="30" t="s">
        <v>314</v>
      </c>
      <c r="Z4" s="31" t="s">
        <v>51</v>
      </c>
      <c r="AA4" s="30" t="s">
        <v>313</v>
      </c>
      <c r="AB4" s="30" t="s">
        <v>314</v>
      </c>
      <c r="AD4" s="31" t="s">
        <v>51</v>
      </c>
      <c r="AE4" s="30" t="s">
        <v>313</v>
      </c>
      <c r="AF4" s="30" t="s">
        <v>314</v>
      </c>
      <c r="AH4" s="31" t="s">
        <v>51</v>
      </c>
      <c r="AI4" s="30" t="s">
        <v>313</v>
      </c>
      <c r="AJ4" s="30" t="s">
        <v>314</v>
      </c>
      <c r="AL4" s="31" t="s">
        <v>51</v>
      </c>
      <c r="AM4" s="30" t="s">
        <v>313</v>
      </c>
      <c r="AN4" s="30" t="s">
        <v>314</v>
      </c>
    </row>
    <row r="5" spans="1:40" x14ac:dyDescent="0.2">
      <c r="A5" s="25"/>
      <c r="B5" s="26" t="s">
        <v>195</v>
      </c>
      <c r="C5" s="27">
        <v>2137.8000000000002</v>
      </c>
      <c r="D5" s="27">
        <v>2704</v>
      </c>
      <c r="F5" s="26" t="s">
        <v>195</v>
      </c>
      <c r="G5" s="26">
        <v>2241.3000000000002</v>
      </c>
      <c r="H5" s="26">
        <v>2534.9</v>
      </c>
      <c r="J5" s="26"/>
      <c r="K5" s="27"/>
      <c r="L5" s="27"/>
      <c r="N5" s="26"/>
      <c r="O5" s="27"/>
      <c r="P5" s="27"/>
      <c r="R5" s="26"/>
      <c r="S5" s="27"/>
      <c r="T5" s="27"/>
      <c r="V5" s="26" t="s">
        <v>195</v>
      </c>
      <c r="W5" s="27">
        <v>6705.7</v>
      </c>
      <c r="X5" s="27">
        <v>7777.9</v>
      </c>
      <c r="Z5" s="26" t="s">
        <v>211</v>
      </c>
      <c r="AA5" s="27">
        <v>14244.5</v>
      </c>
      <c r="AB5" s="27">
        <v>15563</v>
      </c>
      <c r="AD5" s="26" t="s">
        <v>216</v>
      </c>
      <c r="AE5" s="26">
        <v>723.18000000000006</v>
      </c>
      <c r="AF5" s="27"/>
      <c r="AH5" s="26" t="s">
        <v>54</v>
      </c>
      <c r="AI5" s="27"/>
      <c r="AJ5" s="27"/>
      <c r="AL5" s="26" t="s">
        <v>54</v>
      </c>
      <c r="AM5" s="27"/>
      <c r="AN5" s="27"/>
    </row>
    <row r="6" spans="1:40" x14ac:dyDescent="0.2">
      <c r="A6" s="25"/>
      <c r="B6" s="26" t="s">
        <v>209</v>
      </c>
      <c r="C6" s="27">
        <v>2393.1</v>
      </c>
      <c r="D6" s="27"/>
      <c r="F6" s="26"/>
      <c r="G6" s="27"/>
      <c r="H6" s="27"/>
      <c r="J6" s="26"/>
      <c r="K6" s="27"/>
      <c r="L6" s="27"/>
      <c r="N6" s="26"/>
      <c r="O6" s="27"/>
      <c r="P6" s="27"/>
      <c r="R6" s="26"/>
      <c r="S6" s="27"/>
      <c r="T6" s="27"/>
      <c r="V6" s="26"/>
      <c r="W6" s="27"/>
      <c r="X6" s="27"/>
      <c r="Z6" s="26" t="s">
        <v>212</v>
      </c>
      <c r="AA6" s="27">
        <v>13970</v>
      </c>
      <c r="AB6" s="27">
        <v>15900</v>
      </c>
      <c r="AD6" s="26" t="s">
        <v>217</v>
      </c>
      <c r="AE6" s="26">
        <v>672.3</v>
      </c>
      <c r="AF6" s="26">
        <v>772.9</v>
      </c>
      <c r="AH6" s="26" t="s">
        <v>55</v>
      </c>
      <c r="AI6" s="27"/>
      <c r="AJ6" s="27"/>
      <c r="AL6" s="26" t="s">
        <v>55</v>
      </c>
      <c r="AM6" s="27"/>
      <c r="AN6" s="27"/>
    </row>
    <row r="7" spans="1:40" x14ac:dyDescent="0.2">
      <c r="A7" s="25"/>
      <c r="B7" s="26"/>
      <c r="C7" s="27"/>
      <c r="D7" s="27"/>
      <c r="F7" s="26"/>
      <c r="G7" s="27"/>
      <c r="H7" s="27"/>
      <c r="J7" s="26"/>
      <c r="K7" s="27"/>
      <c r="L7" s="27"/>
      <c r="N7" s="26"/>
      <c r="O7" s="27"/>
      <c r="P7" s="27"/>
      <c r="R7" s="26"/>
      <c r="S7" s="27"/>
      <c r="T7" s="27"/>
      <c r="V7" s="26"/>
      <c r="W7" s="27"/>
      <c r="X7" s="27"/>
      <c r="Z7" s="26" t="s">
        <v>213</v>
      </c>
      <c r="AA7" s="27">
        <v>13848.2</v>
      </c>
      <c r="AB7" s="27">
        <v>15248.8</v>
      </c>
      <c r="AD7" s="26"/>
      <c r="AE7" s="27"/>
      <c r="AF7" s="27"/>
      <c r="AH7" s="26" t="s">
        <v>56</v>
      </c>
      <c r="AI7" s="27"/>
      <c r="AJ7" s="27"/>
      <c r="AL7" s="26" t="s">
        <v>56</v>
      </c>
      <c r="AM7" s="27"/>
      <c r="AN7" s="27"/>
    </row>
    <row r="8" spans="1:40" x14ac:dyDescent="0.2">
      <c r="A8" s="25"/>
      <c r="B8" s="26"/>
      <c r="C8" s="27"/>
      <c r="D8" s="27"/>
      <c r="F8" s="26"/>
      <c r="G8" s="27"/>
      <c r="H8" s="27"/>
      <c r="J8" s="26"/>
      <c r="K8" s="27"/>
      <c r="L8" s="27"/>
      <c r="N8" s="26"/>
      <c r="O8" s="27"/>
      <c r="P8" s="27"/>
      <c r="R8" s="26"/>
      <c r="S8" s="27"/>
      <c r="T8" s="27"/>
      <c r="V8" s="26"/>
      <c r="W8" s="27"/>
      <c r="X8" s="27"/>
      <c r="Z8" s="26" t="s">
        <v>214</v>
      </c>
      <c r="AA8" s="27">
        <v>13981</v>
      </c>
      <c r="AB8" s="27">
        <v>15249</v>
      </c>
      <c r="AD8" s="26"/>
      <c r="AE8" s="27"/>
      <c r="AF8" s="27"/>
      <c r="AH8" s="26" t="s">
        <v>57</v>
      </c>
      <c r="AI8" s="27"/>
      <c r="AJ8" s="27"/>
      <c r="AL8" s="26" t="s">
        <v>57</v>
      </c>
      <c r="AM8" s="27"/>
      <c r="AN8" s="27"/>
    </row>
    <row r="9" spans="1:40" x14ac:dyDescent="0.2">
      <c r="A9" s="25"/>
      <c r="B9" s="26"/>
      <c r="C9" s="27"/>
      <c r="D9" s="27"/>
      <c r="F9" s="26"/>
      <c r="G9" s="27"/>
      <c r="H9" s="27"/>
      <c r="J9" s="26"/>
      <c r="K9" s="27"/>
      <c r="L9" s="27"/>
      <c r="N9" s="26"/>
      <c r="O9" s="27"/>
      <c r="P9" s="27"/>
      <c r="R9" s="26"/>
      <c r="S9" s="27"/>
      <c r="T9" s="27"/>
      <c r="V9" s="26"/>
      <c r="W9" s="27"/>
      <c r="X9" s="27"/>
      <c r="Z9" s="26"/>
      <c r="AA9" s="27"/>
      <c r="AB9" s="27"/>
      <c r="AD9" s="26"/>
      <c r="AE9" s="27"/>
      <c r="AF9" s="27"/>
      <c r="AH9" s="26" t="s">
        <v>57</v>
      </c>
      <c r="AI9" s="27"/>
      <c r="AJ9" s="27"/>
      <c r="AL9" s="26" t="s">
        <v>57</v>
      </c>
      <c r="AM9" s="27"/>
      <c r="AN9" s="27"/>
    </row>
    <row r="10" spans="1:40" ht="10.8" thickBot="1" x14ac:dyDescent="0.25">
      <c r="A10" s="25"/>
      <c r="B10" s="28" t="s">
        <v>32</v>
      </c>
      <c r="C10" s="29">
        <f>IFERROR(MEDIAN(C5:C9), "NA")</f>
        <v>2265.4499999999998</v>
      </c>
      <c r="D10" s="29">
        <f>IFERROR(MEDIAN(D5:D9), "NA")</f>
        <v>2704</v>
      </c>
      <c r="F10" s="28" t="s">
        <v>32</v>
      </c>
      <c r="G10" s="29">
        <f>IFERROR(MEDIAN(G5:G9), "NA")</f>
        <v>2241.3000000000002</v>
      </c>
      <c r="H10" s="29">
        <f>IFERROR(MEDIAN(H5:H9), "NA")</f>
        <v>2534.9</v>
      </c>
      <c r="J10" s="28" t="s">
        <v>32</v>
      </c>
      <c r="K10" s="29" t="str">
        <f>IFERROR(MEDIAN(K5:K9), "NA")</f>
        <v>NA</v>
      </c>
      <c r="L10" s="29" t="str">
        <f>IFERROR(MEDIAN(L5:L9), "NA")</f>
        <v>NA</v>
      </c>
      <c r="N10" s="28" t="s">
        <v>32</v>
      </c>
      <c r="O10" s="29" t="str">
        <f>IFERROR(MEDIAN(O5:O9), "NA")</f>
        <v>NA</v>
      </c>
      <c r="P10" s="29" t="str">
        <f>IFERROR(MEDIAN(P5:P9), "NA")</f>
        <v>NA</v>
      </c>
      <c r="R10" s="28" t="s">
        <v>32</v>
      </c>
      <c r="S10" s="29" t="str">
        <f>IFERROR(MEDIAN(S5:S9), "NA")</f>
        <v>NA</v>
      </c>
      <c r="T10" s="29" t="str">
        <f>IFERROR(MEDIAN(T5:T9), "NA")</f>
        <v>NA</v>
      </c>
      <c r="V10" s="28" t="s">
        <v>32</v>
      </c>
      <c r="W10" s="29">
        <f>IFERROR(MEDIAN(W5:W9), "NA")</f>
        <v>6705.7</v>
      </c>
      <c r="X10" s="29">
        <f>IFERROR(MEDIAN(X5:X9), "NA")</f>
        <v>7777.9</v>
      </c>
      <c r="Z10" s="28" t="s">
        <v>32</v>
      </c>
      <c r="AA10" s="29">
        <f>IFERROR(MEDIAN(AA5:AA9), "NA")</f>
        <v>13975.5</v>
      </c>
      <c r="AB10" s="29">
        <f>IFERROR(MEDIAN(AB5:AB9), "NA")</f>
        <v>15406</v>
      </c>
      <c r="AD10" s="28" t="s">
        <v>32</v>
      </c>
      <c r="AE10" s="29">
        <f>IFERROR(MEDIAN(AE5:AE9), "NA")</f>
        <v>697.74</v>
      </c>
      <c r="AF10" s="29">
        <f>IFERROR(MEDIAN(AF5:AF9), "NA")</f>
        <v>772.9</v>
      </c>
      <c r="AH10" s="28" t="s">
        <v>32</v>
      </c>
      <c r="AI10" s="29" t="str">
        <f>IFERROR(MEDIAN(AI5:AI9), "NA")</f>
        <v>NA</v>
      </c>
      <c r="AJ10" s="29" t="str">
        <f>IFERROR(MEDIAN(AJ5:AJ9), "NA")</f>
        <v>NA</v>
      </c>
      <c r="AL10" s="28" t="s">
        <v>32</v>
      </c>
      <c r="AM10" s="29" t="str">
        <f>IFERROR(MEDIAN(AM5:AM9), "NA")</f>
        <v>NA</v>
      </c>
      <c r="AN10" s="29" t="str">
        <f>IFERROR(MEDIAN(AN5:AN9), "NA")</f>
        <v>NA</v>
      </c>
    </row>
    <row r="11" spans="1:40" ht="10.8" thickTop="1" x14ac:dyDescent="0.2">
      <c r="A11" s="25"/>
      <c r="C11" s="23"/>
      <c r="D11" s="23"/>
      <c r="G11" s="23"/>
      <c r="H11" s="23"/>
      <c r="K11" s="23"/>
      <c r="L11" s="23"/>
      <c r="O11" s="23"/>
      <c r="P11" s="23"/>
      <c r="S11" s="23"/>
      <c r="T11" s="23"/>
      <c r="W11" s="23"/>
      <c r="X11" s="23"/>
      <c r="AA11" s="23"/>
      <c r="AB11" s="23"/>
      <c r="AE11" s="23"/>
      <c r="AF11" s="23"/>
      <c r="AI11" s="23"/>
      <c r="AJ11" s="23"/>
      <c r="AM11" s="23"/>
      <c r="AN11" s="23"/>
    </row>
    <row r="12" spans="1:40" x14ac:dyDescent="0.2">
      <c r="B12" s="31" t="s">
        <v>2</v>
      </c>
      <c r="C12" s="30" t="str">
        <f>$C$4</f>
        <v>FY 2022</v>
      </c>
      <c r="D12" s="30" t="str">
        <f>$D$4</f>
        <v>FY 2023</v>
      </c>
      <c r="F12" s="31" t="s">
        <v>2</v>
      </c>
      <c r="G12" s="30" t="str">
        <f>$C$4</f>
        <v>FY 2022</v>
      </c>
      <c r="H12" s="30" t="str">
        <f>$D$4</f>
        <v>FY 2023</v>
      </c>
      <c r="J12" s="31" t="s">
        <v>2</v>
      </c>
      <c r="K12" s="30" t="str">
        <f>$C$4</f>
        <v>FY 2022</v>
      </c>
      <c r="L12" s="30" t="str">
        <f>$D$4</f>
        <v>FY 2023</v>
      </c>
      <c r="N12" s="31" t="s">
        <v>2</v>
      </c>
      <c r="O12" s="30" t="str">
        <f>$C$4</f>
        <v>FY 2022</v>
      </c>
      <c r="P12" s="30" t="str">
        <f>$D$4</f>
        <v>FY 2023</v>
      </c>
      <c r="R12" s="31" t="s">
        <v>2</v>
      </c>
      <c r="S12" s="30" t="str">
        <f>$C$4</f>
        <v>FY 2022</v>
      </c>
      <c r="T12" s="30" t="str">
        <f>$D$4</f>
        <v>FY 2023</v>
      </c>
      <c r="V12" s="31" t="s">
        <v>2</v>
      </c>
      <c r="W12" s="30" t="str">
        <f>$C$4</f>
        <v>FY 2022</v>
      </c>
      <c r="X12" s="30" t="str">
        <f>$D$4</f>
        <v>FY 2023</v>
      </c>
      <c r="Z12" s="31" t="s">
        <v>2</v>
      </c>
      <c r="AA12" s="30" t="str">
        <f>$C$4</f>
        <v>FY 2022</v>
      </c>
      <c r="AB12" s="30" t="str">
        <f>$D$4</f>
        <v>FY 2023</v>
      </c>
      <c r="AD12" s="31" t="s">
        <v>2</v>
      </c>
      <c r="AE12" s="30" t="str">
        <f>$C$4</f>
        <v>FY 2022</v>
      </c>
      <c r="AF12" s="30" t="str">
        <f>$D$4</f>
        <v>FY 2023</v>
      </c>
      <c r="AH12" s="31" t="s">
        <v>2</v>
      </c>
      <c r="AI12" s="30" t="str">
        <f>$C$4</f>
        <v>FY 2022</v>
      </c>
      <c r="AJ12" s="30" t="str">
        <f>$D$4</f>
        <v>FY 2023</v>
      </c>
      <c r="AL12" s="31" t="s">
        <v>2</v>
      </c>
      <c r="AM12" s="30" t="str">
        <f>$C$4</f>
        <v>FY 2022</v>
      </c>
      <c r="AN12" s="30" t="str">
        <f>$D$4</f>
        <v>FY 2023</v>
      </c>
    </row>
    <row r="13" spans="1:40" x14ac:dyDescent="0.2">
      <c r="B13" s="26" t="s">
        <v>195</v>
      </c>
      <c r="C13" s="26">
        <v>203.8</v>
      </c>
      <c r="D13" s="26">
        <v>232.9</v>
      </c>
      <c r="F13" s="26" t="s">
        <v>195</v>
      </c>
      <c r="G13" s="26">
        <v>227.5</v>
      </c>
      <c r="H13" s="26">
        <v>262.39999999999998</v>
      </c>
      <c r="J13" s="26"/>
      <c r="K13" s="27"/>
      <c r="L13" s="27"/>
      <c r="N13" s="26"/>
      <c r="O13" s="27"/>
      <c r="P13" s="27"/>
      <c r="R13" s="26"/>
      <c r="S13" s="27"/>
      <c r="T13" s="27"/>
      <c r="V13" s="26" t="s">
        <v>195</v>
      </c>
      <c r="W13" s="27">
        <v>810.7</v>
      </c>
      <c r="X13" s="27">
        <v>944.1</v>
      </c>
      <c r="Z13" s="26" t="s">
        <v>211</v>
      </c>
      <c r="AA13" s="27">
        <v>2607.5</v>
      </c>
      <c r="AB13" s="27">
        <v>2846.8</v>
      </c>
      <c r="AD13" s="26" t="s">
        <v>216</v>
      </c>
      <c r="AE13" s="26">
        <v>100.74</v>
      </c>
      <c r="AF13" s="26"/>
      <c r="AH13" s="26" t="s">
        <v>54</v>
      </c>
      <c r="AI13" s="27"/>
      <c r="AJ13" s="27"/>
      <c r="AL13" s="26" t="s">
        <v>54</v>
      </c>
      <c r="AM13" s="27"/>
      <c r="AN13" s="27"/>
    </row>
    <row r="14" spans="1:40" x14ac:dyDescent="0.2">
      <c r="B14" s="26" t="s">
        <v>209</v>
      </c>
      <c r="C14" s="26">
        <v>212.5</v>
      </c>
      <c r="D14" s="26"/>
      <c r="F14" s="26"/>
      <c r="G14" s="27"/>
      <c r="H14" s="27"/>
      <c r="J14" s="26"/>
      <c r="K14" s="27"/>
      <c r="L14" s="27"/>
      <c r="N14" s="26"/>
      <c r="O14" s="27"/>
      <c r="P14" s="27"/>
      <c r="R14" s="26"/>
      <c r="S14" s="27"/>
      <c r="T14" s="27"/>
      <c r="V14" s="26"/>
      <c r="W14" s="27"/>
      <c r="X14" s="27"/>
      <c r="Z14" s="26" t="s">
        <v>212</v>
      </c>
      <c r="AA14" s="27">
        <v>2270</v>
      </c>
      <c r="AB14" s="27">
        <v>2760</v>
      </c>
      <c r="AD14" s="26" t="s">
        <v>217</v>
      </c>
      <c r="AE14" s="26">
        <v>82.7</v>
      </c>
      <c r="AF14" s="26">
        <v>90</v>
      </c>
      <c r="AH14" s="26" t="s">
        <v>55</v>
      </c>
      <c r="AI14" s="27"/>
      <c r="AJ14" s="27"/>
      <c r="AL14" s="26" t="s">
        <v>55</v>
      </c>
      <c r="AM14" s="27"/>
      <c r="AN14" s="27"/>
    </row>
    <row r="15" spans="1:40" x14ac:dyDescent="0.2">
      <c r="B15" s="26"/>
      <c r="C15" s="26"/>
      <c r="D15" s="26"/>
      <c r="F15" s="26"/>
      <c r="G15" s="27"/>
      <c r="H15" s="27"/>
      <c r="J15" s="26"/>
      <c r="K15" s="27"/>
      <c r="L15" s="27"/>
      <c r="N15" s="26"/>
      <c r="O15" s="27"/>
      <c r="P15" s="27"/>
      <c r="R15" s="26"/>
      <c r="S15" s="27"/>
      <c r="T15" s="27"/>
      <c r="V15" s="26"/>
      <c r="W15" s="27"/>
      <c r="X15" s="27"/>
      <c r="Z15" s="26" t="s">
        <v>213</v>
      </c>
      <c r="AA15" s="27">
        <v>2317.4</v>
      </c>
      <c r="AB15" s="27">
        <v>2753.2</v>
      </c>
      <c r="AD15" s="26"/>
      <c r="AE15" s="27"/>
      <c r="AF15" s="27"/>
      <c r="AH15" s="26" t="s">
        <v>56</v>
      </c>
      <c r="AI15" s="27"/>
      <c r="AJ15" s="27"/>
      <c r="AL15" s="26" t="s">
        <v>56</v>
      </c>
      <c r="AM15" s="27"/>
      <c r="AN15" s="27"/>
    </row>
    <row r="16" spans="1:40" x14ac:dyDescent="0.2">
      <c r="B16" s="26"/>
      <c r="C16" s="26"/>
      <c r="D16" s="26"/>
      <c r="F16" s="26"/>
      <c r="G16" s="27"/>
      <c r="H16" s="27"/>
      <c r="J16" s="26"/>
      <c r="K16" s="27"/>
      <c r="L16" s="27"/>
      <c r="N16" s="26"/>
      <c r="O16" s="27"/>
      <c r="P16" s="27"/>
      <c r="R16" s="26"/>
      <c r="S16" s="27"/>
      <c r="T16" s="27"/>
      <c r="V16" s="26"/>
      <c r="W16" s="27"/>
      <c r="X16" s="27"/>
      <c r="Z16" s="26" t="s">
        <v>214</v>
      </c>
      <c r="AA16" s="27">
        <v>2293</v>
      </c>
      <c r="AB16" s="27">
        <v>2577</v>
      </c>
      <c r="AD16" s="26"/>
      <c r="AE16" s="27"/>
      <c r="AF16" s="27"/>
      <c r="AH16" s="26" t="s">
        <v>57</v>
      </c>
      <c r="AI16" s="27"/>
      <c r="AJ16" s="27"/>
      <c r="AL16" s="26" t="s">
        <v>57</v>
      </c>
      <c r="AM16" s="27"/>
      <c r="AN16" s="27"/>
    </row>
    <row r="17" spans="1:40" x14ac:dyDescent="0.2">
      <c r="B17" s="26"/>
      <c r="C17" s="26"/>
      <c r="D17" s="26"/>
      <c r="F17" s="26"/>
      <c r="G17" s="27"/>
      <c r="H17" s="27"/>
      <c r="J17" s="26"/>
      <c r="K17" s="27"/>
      <c r="L17" s="27"/>
      <c r="N17" s="26"/>
      <c r="O17" s="27"/>
      <c r="P17" s="27"/>
      <c r="R17" s="26"/>
      <c r="S17" s="27"/>
      <c r="T17" s="27"/>
      <c r="V17" s="26"/>
      <c r="W17" s="27"/>
      <c r="X17" s="27"/>
      <c r="Z17" s="26"/>
      <c r="AA17" s="27"/>
      <c r="AB17" s="27"/>
      <c r="AD17" s="26"/>
      <c r="AE17" s="27"/>
      <c r="AF17" s="27"/>
      <c r="AH17" s="26" t="s">
        <v>57</v>
      </c>
      <c r="AI17" s="27"/>
      <c r="AJ17" s="27"/>
      <c r="AL17" s="26" t="s">
        <v>57</v>
      </c>
      <c r="AM17" s="27"/>
      <c r="AN17" s="27"/>
    </row>
    <row r="18" spans="1:40" ht="10.8" thickBot="1" x14ac:dyDescent="0.25">
      <c r="B18" s="28" t="s">
        <v>32</v>
      </c>
      <c r="C18" s="29">
        <f>IFERROR(MEDIAN(C13:C17), "NA")</f>
        <v>208.15</v>
      </c>
      <c r="D18" s="29">
        <f>IFERROR(MEDIAN(D13:D17), "NA")</f>
        <v>232.9</v>
      </c>
      <c r="F18" s="28" t="s">
        <v>32</v>
      </c>
      <c r="G18" s="29">
        <f>IFERROR(MEDIAN(G13:G17), "NA")</f>
        <v>227.5</v>
      </c>
      <c r="H18" s="29">
        <f>IFERROR(MEDIAN(H13:H17), "NA")</f>
        <v>262.39999999999998</v>
      </c>
      <c r="J18" s="28" t="s">
        <v>32</v>
      </c>
      <c r="K18" s="29" t="str">
        <f>IFERROR(MEDIAN(K13:K17), "NA")</f>
        <v>NA</v>
      </c>
      <c r="L18" s="29" t="str">
        <f>IFERROR(MEDIAN(L13:L17), "NA")</f>
        <v>NA</v>
      </c>
      <c r="N18" s="28" t="s">
        <v>32</v>
      </c>
      <c r="O18" s="29" t="str">
        <f>IFERROR(MEDIAN(O13:O17), "NA")</f>
        <v>NA</v>
      </c>
      <c r="P18" s="29" t="str">
        <f>IFERROR(MEDIAN(P13:P17), "NA")</f>
        <v>NA</v>
      </c>
      <c r="R18" s="28" t="s">
        <v>32</v>
      </c>
      <c r="S18" s="29" t="str">
        <f>IFERROR(MEDIAN(S13:S17), "NA")</f>
        <v>NA</v>
      </c>
      <c r="T18" s="29" t="str">
        <f>IFERROR(MEDIAN(T13:T17), "NA")</f>
        <v>NA</v>
      </c>
      <c r="V18" s="28" t="s">
        <v>32</v>
      </c>
      <c r="W18" s="29">
        <f>IFERROR(MEDIAN(W13:W17), "NA")</f>
        <v>810.7</v>
      </c>
      <c r="X18" s="29">
        <f>IFERROR(MEDIAN(X13:X17), "NA")</f>
        <v>944.1</v>
      </c>
      <c r="Z18" s="28" t="s">
        <v>32</v>
      </c>
      <c r="AA18" s="29">
        <f>IFERROR(MEDIAN(AA13:AA17), "NA")</f>
        <v>2305.1999999999998</v>
      </c>
      <c r="AB18" s="29">
        <f>IFERROR(MEDIAN(AB13:AB17), "NA")</f>
        <v>2756.6</v>
      </c>
      <c r="AD18" s="28" t="s">
        <v>32</v>
      </c>
      <c r="AE18" s="29">
        <f>IFERROR(MEDIAN(AE13:AE17), "NA")</f>
        <v>91.72</v>
      </c>
      <c r="AF18" s="29">
        <f>IFERROR(MEDIAN(AF13:AF17), "NA")</f>
        <v>90</v>
      </c>
      <c r="AH18" s="28" t="s">
        <v>32</v>
      </c>
      <c r="AI18" s="29" t="str">
        <f>IFERROR(MEDIAN(AI13:AI17), "NA")</f>
        <v>NA</v>
      </c>
      <c r="AJ18" s="29" t="str">
        <f>IFERROR(MEDIAN(AJ13:AJ17), "NA")</f>
        <v>NA</v>
      </c>
      <c r="AL18" s="28" t="s">
        <v>32</v>
      </c>
      <c r="AM18" s="29" t="str">
        <f>IFERROR(MEDIAN(AM13:AM17), "NA")</f>
        <v>NA</v>
      </c>
      <c r="AN18" s="29" t="str">
        <f>IFERROR(MEDIAN(AN13:AN17), "NA")</f>
        <v>NA</v>
      </c>
    </row>
    <row r="19" spans="1:40" ht="10.8" thickTop="1" x14ac:dyDescent="0.2">
      <c r="D19" s="23"/>
      <c r="H19" s="23"/>
      <c r="L19" s="23"/>
      <c r="P19" s="23"/>
      <c r="T19" s="23"/>
      <c r="X19" s="23"/>
      <c r="AB19" s="23"/>
      <c r="AF19" s="23"/>
      <c r="AJ19" s="23"/>
      <c r="AN19" s="23"/>
    </row>
    <row r="20" spans="1:40" x14ac:dyDescent="0.2">
      <c r="A20" s="25"/>
      <c r="B20" s="31" t="s">
        <v>52</v>
      </c>
      <c r="C20" s="30" t="str">
        <f>$C$4</f>
        <v>FY 2022</v>
      </c>
      <c r="D20" s="30" t="str">
        <f>$D$4</f>
        <v>FY 2023</v>
      </c>
      <c r="F20" s="31" t="s">
        <v>52</v>
      </c>
      <c r="G20" s="30" t="str">
        <f>$C$4</f>
        <v>FY 2022</v>
      </c>
      <c r="H20" s="30" t="str">
        <f>$D$4</f>
        <v>FY 2023</v>
      </c>
      <c r="J20" s="31" t="s">
        <v>52</v>
      </c>
      <c r="K20" s="30" t="str">
        <f>$C$4</f>
        <v>FY 2022</v>
      </c>
      <c r="L20" s="30" t="str">
        <f>$D$4</f>
        <v>FY 2023</v>
      </c>
      <c r="N20" s="31" t="s">
        <v>52</v>
      </c>
      <c r="O20" s="30" t="str">
        <f>$C$4</f>
        <v>FY 2022</v>
      </c>
      <c r="P20" s="30" t="str">
        <f>$D$4</f>
        <v>FY 2023</v>
      </c>
      <c r="R20" s="31" t="s">
        <v>52</v>
      </c>
      <c r="S20" s="30" t="str">
        <f>$C$4</f>
        <v>FY 2022</v>
      </c>
      <c r="T20" s="30" t="str">
        <f>$D$4</f>
        <v>FY 2023</v>
      </c>
      <c r="V20" s="31" t="s">
        <v>52</v>
      </c>
      <c r="W20" s="30" t="str">
        <f>$C$4</f>
        <v>FY 2022</v>
      </c>
      <c r="X20" s="30" t="str">
        <f>$D$4</f>
        <v>FY 2023</v>
      </c>
      <c r="Z20" s="31" t="s">
        <v>52</v>
      </c>
      <c r="AA20" s="30" t="str">
        <f>$C$4</f>
        <v>FY 2022</v>
      </c>
      <c r="AB20" s="30" t="str">
        <f>$D$4</f>
        <v>FY 2023</v>
      </c>
      <c r="AD20" s="31" t="s">
        <v>52</v>
      </c>
      <c r="AE20" s="30" t="str">
        <f>$C$4</f>
        <v>FY 2022</v>
      </c>
      <c r="AF20" s="30" t="str">
        <f>$D$4</f>
        <v>FY 2023</v>
      </c>
      <c r="AH20" s="31" t="s">
        <v>52</v>
      </c>
      <c r="AI20" s="30" t="str">
        <f>$C$4</f>
        <v>FY 2022</v>
      </c>
      <c r="AJ20" s="30" t="str">
        <f>$D$4</f>
        <v>FY 2023</v>
      </c>
      <c r="AL20" s="31" t="s">
        <v>52</v>
      </c>
      <c r="AM20" s="30" t="str">
        <f>$C$4</f>
        <v>FY 2022</v>
      </c>
      <c r="AN20" s="30" t="str">
        <f>$D$4</f>
        <v>FY 2023</v>
      </c>
    </row>
    <row r="21" spans="1:40" x14ac:dyDescent="0.2">
      <c r="A21" s="25"/>
      <c r="B21" s="26" t="s">
        <v>195</v>
      </c>
      <c r="C21" s="26">
        <v>96.5</v>
      </c>
      <c r="D21" s="26">
        <v>127.1</v>
      </c>
      <c r="F21" s="26" t="s">
        <v>195</v>
      </c>
      <c r="G21" s="26">
        <v>138.9</v>
      </c>
      <c r="H21" s="26">
        <v>174.2</v>
      </c>
      <c r="J21" s="26"/>
      <c r="K21" s="27"/>
      <c r="L21" s="27"/>
      <c r="N21" s="26"/>
      <c r="O21" s="27"/>
      <c r="P21" s="27"/>
      <c r="R21" s="26"/>
      <c r="S21" s="27"/>
      <c r="T21" s="27"/>
      <c r="V21" s="26" t="s">
        <v>195</v>
      </c>
      <c r="W21" s="27">
        <v>275</v>
      </c>
      <c r="X21" s="27">
        <v>356.4</v>
      </c>
      <c r="Z21" s="26" t="s">
        <v>211</v>
      </c>
      <c r="AA21" s="27">
        <v>1974.2</v>
      </c>
      <c r="AB21" s="27">
        <v>2160.6</v>
      </c>
      <c r="AD21" s="26" t="s">
        <v>216</v>
      </c>
      <c r="AE21" s="26">
        <v>60.5</v>
      </c>
      <c r="AF21" s="27"/>
      <c r="AH21" s="26" t="s">
        <v>54</v>
      </c>
      <c r="AI21" s="27"/>
      <c r="AJ21" s="27"/>
      <c r="AL21" s="26" t="s">
        <v>54</v>
      </c>
      <c r="AM21" s="27"/>
      <c r="AN21" s="27"/>
    </row>
    <row r="22" spans="1:40" x14ac:dyDescent="0.2">
      <c r="A22" s="25"/>
      <c r="B22" s="26" t="s">
        <v>209</v>
      </c>
      <c r="C22" s="26">
        <v>89.5</v>
      </c>
      <c r="D22" s="26"/>
      <c r="F22" s="26"/>
      <c r="G22" s="27"/>
      <c r="H22" s="27"/>
      <c r="J22" s="26"/>
      <c r="K22" s="27"/>
      <c r="L22" s="27"/>
      <c r="N22" s="26"/>
      <c r="O22" s="27"/>
      <c r="P22" s="27"/>
      <c r="R22" s="26"/>
      <c r="S22" s="27"/>
      <c r="T22" s="27"/>
      <c r="V22" s="26"/>
      <c r="W22" s="27"/>
      <c r="X22" s="27"/>
      <c r="Z22" s="26" t="s">
        <v>212</v>
      </c>
      <c r="AA22" s="27">
        <v>1600</v>
      </c>
      <c r="AB22" s="27">
        <v>2000</v>
      </c>
      <c r="AD22" s="26" t="s">
        <v>217</v>
      </c>
      <c r="AE22" s="26">
        <v>50.4</v>
      </c>
      <c r="AF22" s="26">
        <v>58.4</v>
      </c>
      <c r="AH22" s="26" t="s">
        <v>55</v>
      </c>
      <c r="AI22" s="27"/>
      <c r="AJ22" s="27"/>
      <c r="AL22" s="26" t="s">
        <v>55</v>
      </c>
      <c r="AM22" s="27"/>
      <c r="AN22" s="27"/>
    </row>
    <row r="23" spans="1:40" x14ac:dyDescent="0.2">
      <c r="A23" s="25"/>
      <c r="B23" s="26"/>
      <c r="C23" s="27"/>
      <c r="D23" s="27"/>
      <c r="F23" s="26"/>
      <c r="G23" s="27"/>
      <c r="H23" s="27"/>
      <c r="J23" s="26"/>
      <c r="K23" s="27"/>
      <c r="L23" s="27"/>
      <c r="N23" s="26"/>
      <c r="O23" s="27"/>
      <c r="P23" s="27"/>
      <c r="R23" s="26"/>
      <c r="S23" s="27"/>
      <c r="T23" s="27"/>
      <c r="V23" s="26"/>
      <c r="W23" s="27"/>
      <c r="X23" s="27"/>
      <c r="Z23" s="26" t="s">
        <v>213</v>
      </c>
      <c r="AA23" s="27">
        <v>1615.3</v>
      </c>
      <c r="AB23" s="27">
        <v>1956.9</v>
      </c>
      <c r="AD23" s="26"/>
      <c r="AE23" s="27"/>
      <c r="AF23" s="27"/>
      <c r="AH23" s="26" t="s">
        <v>56</v>
      </c>
      <c r="AI23" s="27"/>
      <c r="AJ23" s="27"/>
      <c r="AL23" s="26" t="s">
        <v>56</v>
      </c>
      <c r="AM23" s="27"/>
      <c r="AN23" s="27"/>
    </row>
    <row r="24" spans="1:40" x14ac:dyDescent="0.2">
      <c r="A24" s="25"/>
      <c r="B24" s="26"/>
      <c r="C24" s="27"/>
      <c r="D24" s="27"/>
      <c r="F24" s="26"/>
      <c r="G24" s="27"/>
      <c r="H24" s="27"/>
      <c r="J24" s="26"/>
      <c r="K24" s="27"/>
      <c r="L24" s="27"/>
      <c r="N24" s="26"/>
      <c r="O24" s="27"/>
      <c r="P24" s="27"/>
      <c r="R24" s="26"/>
      <c r="S24" s="27"/>
      <c r="T24" s="27"/>
      <c r="V24" s="26"/>
      <c r="W24" s="27"/>
      <c r="X24" s="27"/>
      <c r="Z24" s="26" t="s">
        <v>214</v>
      </c>
      <c r="AA24" s="27">
        <v>1682</v>
      </c>
      <c r="AB24" s="27">
        <v>1913</v>
      </c>
      <c r="AD24" s="26"/>
      <c r="AE24" s="27"/>
      <c r="AF24" s="27"/>
      <c r="AH24" s="26" t="s">
        <v>57</v>
      </c>
      <c r="AI24" s="27"/>
      <c r="AJ24" s="27"/>
      <c r="AL24" s="26" t="s">
        <v>57</v>
      </c>
      <c r="AM24" s="27"/>
      <c r="AN24" s="27"/>
    </row>
    <row r="25" spans="1:40" x14ac:dyDescent="0.2">
      <c r="A25" s="25"/>
      <c r="B25" s="26"/>
      <c r="C25" s="27"/>
      <c r="D25" s="27"/>
      <c r="F25" s="26"/>
      <c r="G25" s="27"/>
      <c r="H25" s="27"/>
      <c r="J25" s="26"/>
      <c r="K25" s="27"/>
      <c r="L25" s="27"/>
      <c r="N25" s="26"/>
      <c r="O25" s="27"/>
      <c r="P25" s="27"/>
      <c r="R25" s="26"/>
      <c r="S25" s="27"/>
      <c r="T25" s="27"/>
      <c r="V25" s="26"/>
      <c r="W25" s="27"/>
      <c r="X25" s="27"/>
      <c r="Z25" s="26"/>
      <c r="AA25" s="27"/>
      <c r="AB25" s="27"/>
      <c r="AD25" s="26"/>
      <c r="AE25" s="27"/>
      <c r="AF25" s="27"/>
      <c r="AH25" s="26" t="s">
        <v>57</v>
      </c>
      <c r="AI25" s="27"/>
      <c r="AJ25" s="27"/>
      <c r="AL25" s="26" t="s">
        <v>57</v>
      </c>
      <c r="AM25" s="27"/>
      <c r="AN25" s="27"/>
    </row>
    <row r="26" spans="1:40" ht="10.8" thickBot="1" x14ac:dyDescent="0.25">
      <c r="A26" s="25"/>
      <c r="B26" s="28" t="s">
        <v>32</v>
      </c>
      <c r="C26" s="29">
        <f>IFERROR(MEDIAN(C21:C25), "NA")</f>
        <v>93</v>
      </c>
      <c r="D26" s="29">
        <f>IFERROR(MEDIAN(D21:D25), "NA")</f>
        <v>127.1</v>
      </c>
      <c r="F26" s="28" t="s">
        <v>32</v>
      </c>
      <c r="G26" s="29">
        <f>IFERROR(MEDIAN(G21:G25), "NA")</f>
        <v>138.9</v>
      </c>
      <c r="H26" s="29">
        <f>IFERROR(MEDIAN(H21:H25), "NA")</f>
        <v>174.2</v>
      </c>
      <c r="J26" s="28" t="s">
        <v>32</v>
      </c>
      <c r="K26" s="29" t="str">
        <f>IFERROR(MEDIAN(K21:K25), "NA")</f>
        <v>NA</v>
      </c>
      <c r="L26" s="29" t="str">
        <f>IFERROR(MEDIAN(L21:L25), "NA")</f>
        <v>NA</v>
      </c>
      <c r="N26" s="28" t="s">
        <v>32</v>
      </c>
      <c r="O26" s="29" t="str">
        <f>IFERROR(MEDIAN(O21:O25), "NA")</f>
        <v>NA</v>
      </c>
      <c r="P26" s="29" t="str">
        <f>IFERROR(MEDIAN(P21:P25), "NA")</f>
        <v>NA</v>
      </c>
      <c r="R26" s="28" t="s">
        <v>32</v>
      </c>
      <c r="S26" s="29" t="str">
        <f>IFERROR(MEDIAN(S21:S25), "NA")</f>
        <v>NA</v>
      </c>
      <c r="T26" s="29" t="str">
        <f>IFERROR(MEDIAN(T21:T25), "NA")</f>
        <v>NA</v>
      </c>
      <c r="V26" s="28" t="s">
        <v>32</v>
      </c>
      <c r="W26" s="29">
        <f>IFERROR(MEDIAN(W21:W25), "NA")</f>
        <v>275</v>
      </c>
      <c r="X26" s="29">
        <f>IFERROR(MEDIAN(X21:X25), "NA")</f>
        <v>356.4</v>
      </c>
      <c r="Z26" s="28" t="s">
        <v>32</v>
      </c>
      <c r="AA26" s="29">
        <f>IFERROR(MEDIAN(AA21:AA25), "NA")</f>
        <v>1648.65</v>
      </c>
      <c r="AB26" s="29">
        <f>IFERROR(MEDIAN(AB21:AB25), "NA")</f>
        <v>1978.45</v>
      </c>
      <c r="AD26" s="28" t="s">
        <v>32</v>
      </c>
      <c r="AE26" s="29">
        <f>IFERROR(MEDIAN(AE21:AE25), "NA")</f>
        <v>55.45</v>
      </c>
      <c r="AF26" s="29">
        <f>IFERROR(MEDIAN(AF21:AF25), "NA")</f>
        <v>58.4</v>
      </c>
      <c r="AH26" s="28" t="s">
        <v>32</v>
      </c>
      <c r="AI26" s="29" t="str">
        <f>IFERROR(MEDIAN(AI21:AI25), "NA")</f>
        <v>NA</v>
      </c>
      <c r="AJ26" s="29" t="str">
        <f>IFERROR(MEDIAN(AJ21:AJ25), "NA")</f>
        <v>NA</v>
      </c>
      <c r="AL26" s="28" t="s">
        <v>32</v>
      </c>
      <c r="AM26" s="29" t="str">
        <f>IFERROR(MEDIAN(AM21:AM25), "NA")</f>
        <v>NA</v>
      </c>
      <c r="AN26" s="29" t="str">
        <f>IFERROR(MEDIAN(AN21:AN25), "NA")</f>
        <v>NA</v>
      </c>
    </row>
    <row r="27" spans="1:40" ht="10.8" thickTop="1" x14ac:dyDescent="0.2">
      <c r="B27" s="23"/>
      <c r="C27" s="23"/>
      <c r="D27" s="23"/>
      <c r="F27" s="23"/>
      <c r="G27" s="23"/>
      <c r="H27" s="23"/>
      <c r="J27" s="23"/>
      <c r="K27" s="23"/>
      <c r="L27" s="23"/>
      <c r="N27" s="23"/>
      <c r="O27" s="23"/>
      <c r="P27" s="23"/>
      <c r="R27" s="23"/>
      <c r="S27" s="23"/>
      <c r="T27" s="23"/>
      <c r="V27" s="23"/>
      <c r="W27" s="23"/>
      <c r="X27" s="23"/>
      <c r="Z27" s="23"/>
      <c r="AA27" s="23"/>
      <c r="AB27" s="23"/>
      <c r="AD27" s="23"/>
      <c r="AE27" s="23"/>
      <c r="AF27" s="23"/>
      <c r="AH27" s="23"/>
      <c r="AI27" s="23"/>
      <c r="AJ27" s="23"/>
      <c r="AL27" s="23"/>
      <c r="AM27" s="23"/>
      <c r="AN27" s="23"/>
    </row>
    <row r="29" spans="1:40" ht="14.4" x14ac:dyDescent="0.3">
      <c r="B29" s="101"/>
      <c r="F29" s="101"/>
      <c r="V29" s="101"/>
      <c r="Z29" s="102"/>
      <c r="AD29" s="102"/>
    </row>
    <row r="30" spans="1:40" x14ac:dyDescent="0.2">
      <c r="B30" s="102"/>
      <c r="Z30" s="102"/>
      <c r="AD30" s="102"/>
    </row>
    <row r="31" spans="1:40" x14ac:dyDescent="0.2">
      <c r="Z31" s="102"/>
    </row>
    <row r="32" spans="1:40" x14ac:dyDescent="0.2">
      <c r="Z32" s="102"/>
    </row>
  </sheetData>
  <mergeCells count="10">
    <mergeCell ref="AD2:AF2"/>
    <mergeCell ref="AH2:AJ2"/>
    <mergeCell ref="AL2:AN2"/>
    <mergeCell ref="B2:D2"/>
    <mergeCell ref="J2:L2"/>
    <mergeCell ref="N2:P2"/>
    <mergeCell ref="R2:T2"/>
    <mergeCell ref="V2:X2"/>
    <mergeCell ref="Z2:AB2"/>
    <mergeCell ref="F2:H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Company Overview</vt:lpstr>
      <vt:lpstr>Assumptions</vt:lpstr>
      <vt:lpstr>Income Statement</vt:lpstr>
      <vt:lpstr>Balance Sheet</vt:lpstr>
      <vt:lpstr>CFS</vt:lpstr>
      <vt:lpstr>Valuation 1</vt:lpstr>
      <vt:lpstr>Comps</vt:lpstr>
      <vt:lpstr>Comps - Consensus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Zebra Learn</dc:creator>
  <cp:lastModifiedBy>devch</cp:lastModifiedBy>
  <cp:lastPrinted>2022-01-24T05:12:47Z</cp:lastPrinted>
  <dcterms:created xsi:type="dcterms:W3CDTF">2014-01-20T10:19:45Z</dcterms:created>
  <dcterms:modified xsi:type="dcterms:W3CDTF">2022-08-10T07:59:06Z</dcterms:modified>
</cp:coreProperties>
</file>